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80" firstSheet="1" activeTab="1"/>
  </bookViews>
  <sheets>
    <sheet name="总表" sheetId="9" r:id="rId1"/>
    <sheet name="本周期销售数据表" sheetId="10" r:id="rId2"/>
    <sheet name="上周期销售数据表" sheetId="14" r:id="rId3"/>
    <sheet name="运维数据" sheetId="11" r:id="rId4"/>
    <sheet name="运维频率" sheetId="13" r:id="rId5"/>
    <sheet name="初" sheetId="15" r:id="rId6"/>
    <sheet name="烽" sheetId="16" r:id="rId7"/>
    <sheet name="小兰" sheetId="17" r:id="rId8"/>
    <sheet name="报数" sheetId="18" r:id="rId9"/>
    <sheet name="故障" sheetId="19" r:id="rId10"/>
    <sheet name="碧桂园" sheetId="20" r:id="rId11"/>
  </sheets>
  <definedNames>
    <definedName name="_xlnm._FilterDatabase" localSheetId="0" hidden="1">总表!$A$1:$T$189</definedName>
    <definedName name="_xlnm._FilterDatabase" localSheetId="4" hidden="1">运维频率!$A$1:$B$193</definedName>
    <definedName name="_xlnm._FilterDatabase" localSheetId="5" hidden="1">初!$A$1:$AD$67</definedName>
    <definedName name="_xlnm._FilterDatabase" localSheetId="6" hidden="1">烽!$A$1:$AD$75</definedName>
    <definedName name="_xlnm._FilterDatabase" localSheetId="7" hidden="1">小兰!$A$1:$AD$40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<sst xmlns="http://schemas.openxmlformats.org/spreadsheetml/2006/main" count="1635" uniqueCount="398">
  <si>
    <t>机器编号</t>
  </si>
  <si>
    <t>线路</t>
  </si>
  <si>
    <t>点位名称</t>
  </si>
  <si>
    <t>所属督导</t>
  </si>
  <si>
    <t>运维人</t>
  </si>
  <si>
    <t>上周运维频率（次）</t>
  </si>
  <si>
    <t>本周运维频率（次）</t>
  </si>
  <si>
    <t>上周期总杯数</t>
  </si>
  <si>
    <t>本周期总杯数</t>
  </si>
  <si>
    <t>差异%</t>
  </si>
  <si>
    <t>总金额</t>
  </si>
  <si>
    <t>测试杯</t>
  </si>
  <si>
    <t>停机时长</t>
  </si>
  <si>
    <t>停机原因备注</t>
  </si>
  <si>
    <t>投诉总量</t>
  </si>
  <si>
    <t>投诉率</t>
  </si>
  <si>
    <t>缺料故障情况</t>
  </si>
  <si>
    <t>客户投诉</t>
  </si>
  <si>
    <t>异常事件</t>
  </si>
  <si>
    <t>事件备注</t>
  </si>
  <si>
    <t>市区</t>
  </si>
  <si>
    <t>江门市中心医院外科4楼手术室</t>
  </si>
  <si>
    <t>李小兰</t>
  </si>
  <si>
    <t>江门市中心内科</t>
  </si>
  <si>
    <t>江门市中心医院门诊大堂</t>
  </si>
  <si>
    <t>江门市中心医院门诊4楼</t>
  </si>
  <si>
    <t>江门市中心医院外科</t>
  </si>
  <si>
    <t>开平</t>
  </si>
  <si>
    <t>开平市赤坎服务区南区</t>
  </si>
  <si>
    <t>张礼初</t>
  </si>
  <si>
    <t>江门市第二人民医院门诊楼</t>
  </si>
  <si>
    <t>江门市新会中医院2号楼大堂</t>
  </si>
  <si>
    <t xml:space="preserve">新会人民医院住院部大堂  </t>
  </si>
  <si>
    <t xml:space="preserve">新会人民医院门诊  </t>
  </si>
  <si>
    <t>江门市购书中心</t>
  </si>
  <si>
    <t>广州市孙逸仙花都区急诊</t>
  </si>
  <si>
    <t>黄梓烽</t>
  </si>
  <si>
    <t>江门市爱尔新希望8楼</t>
  </si>
  <si>
    <t>江门市新会爱尔新希望</t>
  </si>
  <si>
    <t>江门市蓬江交警</t>
  </si>
  <si>
    <t>江门市松下饭堂</t>
  </si>
  <si>
    <t>江门市行政总汇4楼</t>
  </si>
  <si>
    <t xml:space="preserve">江门市行政总汇3楼 </t>
  </si>
  <si>
    <t>江门市中国移动通信信息楼</t>
  </si>
  <si>
    <t>江门市图书馆</t>
  </si>
  <si>
    <t>江门戴爱莲</t>
  </si>
  <si>
    <t>恩平中国电信</t>
  </si>
  <si>
    <t>江门市看守所</t>
  </si>
  <si>
    <t>江门供电局</t>
  </si>
  <si>
    <t>小榄服务区服务楼</t>
  </si>
  <si>
    <t>台山公安局</t>
  </si>
  <si>
    <t>卖机</t>
  </si>
  <si>
    <t>三江交警</t>
  </si>
  <si>
    <t>拘留所</t>
  </si>
  <si>
    <t>江门市办案中心</t>
  </si>
  <si>
    <t>南国学院图书馆新馆二楼</t>
  </si>
  <si>
    <t>南国学院图书馆新馆三楼</t>
  </si>
  <si>
    <t>粤西</t>
  </si>
  <si>
    <t>粤西梁金山服务区南</t>
  </si>
  <si>
    <t>鹤山中国电信</t>
  </si>
  <si>
    <t>粤西新墟服务区南</t>
  </si>
  <si>
    <t>粤西新墟服务区北</t>
  </si>
  <si>
    <t>粤西司前服务区南</t>
  </si>
  <si>
    <t>粤西司前服务区北</t>
  </si>
  <si>
    <t>粤西阳江服务区南</t>
  </si>
  <si>
    <t>粤西阳江服务区北</t>
  </si>
  <si>
    <t>粤西官渡服务区南区</t>
  </si>
  <si>
    <t>粤西官渡服务区北区</t>
  </si>
  <si>
    <t>粤西浅水服务区南区</t>
  </si>
  <si>
    <t>粤西浅水服务区北区</t>
  </si>
  <si>
    <t>粤西阳西服务区南</t>
  </si>
  <si>
    <t>粤西阳西服务区北</t>
  </si>
  <si>
    <t>粤西雷州服务区东区</t>
  </si>
  <si>
    <t>粤西雷州服务区西区</t>
  </si>
  <si>
    <t>粤西阳春服务区东</t>
  </si>
  <si>
    <t>粤西阳春服务区西</t>
  </si>
  <si>
    <t>粤西苹塘服务区南</t>
  </si>
  <si>
    <t>粤西苹塘服务区北</t>
  </si>
  <si>
    <t>粤西安塘服务区北</t>
  </si>
  <si>
    <t>粤西安塘服务区南</t>
  </si>
  <si>
    <t>粤西附城服务区南</t>
  </si>
  <si>
    <t>粤西附城服务区北</t>
  </si>
  <si>
    <t>粤西播植服务区南区</t>
  </si>
  <si>
    <t>粤西播植服务区北</t>
  </si>
  <si>
    <t>粤西新城服务区南</t>
  </si>
  <si>
    <t>粤西新城服务区北</t>
  </si>
  <si>
    <t>粤西圣堂服务区北</t>
  </si>
  <si>
    <t>粤西水南服务区南区</t>
  </si>
  <si>
    <t>粤西水南服务区北区</t>
  </si>
  <si>
    <t>粤西遂溪服务区东区</t>
  </si>
  <si>
    <t>粤西遂溪服务区西区</t>
  </si>
  <si>
    <t>粤东</t>
  </si>
  <si>
    <t>粤东多祝服务区南</t>
  </si>
  <si>
    <t>粤东多祝服务区北</t>
  </si>
  <si>
    <t>粤东金灶服务区南</t>
  </si>
  <si>
    <t>粤东金灶服务区北</t>
  </si>
  <si>
    <t>粤东蓝塘服务区南</t>
  </si>
  <si>
    <t>粤东蓝塘服务区北</t>
  </si>
  <si>
    <t>粤东热水服务区南区</t>
  </si>
  <si>
    <t>粤东热水服务区北区</t>
  </si>
  <si>
    <t>粤东横陂服务区东</t>
  </si>
  <si>
    <t>粤东陆河服务区东区</t>
  </si>
  <si>
    <t>粤东陆河服务区西区</t>
  </si>
  <si>
    <t>粤东坪上服务区东区</t>
  </si>
  <si>
    <t>粤东坪上服务区西区</t>
  </si>
  <si>
    <t>粤北</t>
  </si>
  <si>
    <t>粤北乐昌服务区南</t>
  </si>
  <si>
    <t>粤北乐昌服务区北</t>
  </si>
  <si>
    <t>粤北梅花北服务区南</t>
  </si>
  <si>
    <t>粤北梅花北服务区北</t>
  </si>
  <si>
    <t>享当当</t>
  </si>
  <si>
    <t>享当当荔城服务区西区</t>
  </si>
  <si>
    <t>享当当荔城服务区东区</t>
  </si>
  <si>
    <t>粤北英德服务区南</t>
  </si>
  <si>
    <t>粤北英德服务区北</t>
  </si>
  <si>
    <t>粤北花城服务区</t>
  </si>
  <si>
    <t>粤北源潭服务区</t>
  </si>
  <si>
    <t>珠三角</t>
  </si>
  <si>
    <t>珠三角斗门服务区南区</t>
  </si>
  <si>
    <t>珠三角斗门服务区北区</t>
  </si>
  <si>
    <t>珠三角龙口服务区西区</t>
  </si>
  <si>
    <t>珠三角龙口服务区东区</t>
  </si>
  <si>
    <t>珠三角蚬岗服务区北</t>
  </si>
  <si>
    <t>珠三角蚬岗服务区南向</t>
  </si>
  <si>
    <t>北郊电信</t>
  </si>
  <si>
    <t>蓬江电信</t>
  </si>
  <si>
    <t>开平市赤坎服务区北区</t>
  </si>
  <si>
    <t>元山</t>
  </si>
  <si>
    <t>元山服务区东</t>
  </si>
  <si>
    <t>元山服务区西</t>
  </si>
  <si>
    <t>粤益</t>
  </si>
  <si>
    <t>粤益南沙服务区南</t>
  </si>
  <si>
    <t>粤益南沙服务区北</t>
  </si>
  <si>
    <t>粤益金和服务区南</t>
  </si>
  <si>
    <t>粤益金和服务区北</t>
  </si>
  <si>
    <t>享当当高流河服务区南</t>
  </si>
  <si>
    <t>享当当高流河服务区北</t>
  </si>
  <si>
    <t>南医五院门诊</t>
  </si>
  <si>
    <t>南医五院手术室</t>
  </si>
  <si>
    <t>南医五院外科楼</t>
  </si>
  <si>
    <t>华通</t>
  </si>
  <si>
    <t>华通龙山服务区东区</t>
  </si>
  <si>
    <t>华通龙山服务区西区</t>
  </si>
  <si>
    <t>嘉兴祥通</t>
  </si>
  <si>
    <t>水边服务区东</t>
  </si>
  <si>
    <t>水边服务区西</t>
  </si>
  <si>
    <t>徐闻</t>
  </si>
  <si>
    <t>海安新港售票厅</t>
  </si>
  <si>
    <t>海安新港码头</t>
  </si>
  <si>
    <t>小榄</t>
  </si>
  <si>
    <t>小榄人民医院妇科大楼二楼</t>
  </si>
  <si>
    <t>小榄人民医院内科</t>
  </si>
  <si>
    <t>小榄人民医院门诊</t>
  </si>
  <si>
    <t>清远</t>
  </si>
  <si>
    <t>清远人民医院门诊</t>
  </si>
  <si>
    <t>清远图书馆新馆 （清远人医搬过来）</t>
  </si>
  <si>
    <t>清远图书馆旧馆（清远人医搬过来）</t>
  </si>
  <si>
    <t>肇庆</t>
  </si>
  <si>
    <t>中山大学附属第三医院肇庆医院</t>
  </si>
  <si>
    <t>恩平</t>
  </si>
  <si>
    <t>恩平妇幼门诊大堂</t>
  </si>
  <si>
    <t>恩平行政服务中心</t>
  </si>
  <si>
    <t>广州</t>
  </si>
  <si>
    <t>臻盈咖啡广州图书馆分店</t>
  </si>
  <si>
    <t>粤东陶河服务区南区</t>
  </si>
  <si>
    <t>粤东陶河服务区北区</t>
  </si>
  <si>
    <t>重庆</t>
  </si>
  <si>
    <t>重庆市重医附一门诊</t>
  </si>
  <si>
    <t>重庆市重医附一行政楼</t>
  </si>
  <si>
    <t>重庆市重医附一2号楼CT休息区</t>
  </si>
  <si>
    <t>东莞</t>
  </si>
  <si>
    <t>东莞妇幼综合楼</t>
  </si>
  <si>
    <t>东莞妇幼门诊2楼</t>
  </si>
  <si>
    <t xml:space="preserve">东莞妇幼门诊4楼  </t>
  </si>
  <si>
    <t>粤西梁金山服务区北</t>
  </si>
  <si>
    <t>中山</t>
  </si>
  <si>
    <t>中山市税务局南楼</t>
  </si>
  <si>
    <t>中山市税务局北楼</t>
  </si>
  <si>
    <t>中山市中国建设银行</t>
  </si>
  <si>
    <t>顺德</t>
  </si>
  <si>
    <t>顺德宏石激光2楼</t>
  </si>
  <si>
    <t>佛山</t>
  </si>
  <si>
    <t xml:space="preserve">佛山安得智联  </t>
  </si>
  <si>
    <t>址山服务区</t>
  </si>
  <si>
    <t>粤西圣堂服务区南区</t>
  </si>
  <si>
    <t>粤东横陂服务区西</t>
  </si>
  <si>
    <t xml:space="preserve">广州市荔湾图书馆  </t>
  </si>
  <si>
    <t xml:space="preserve">粤东沙田服务区北区  </t>
  </si>
  <si>
    <t xml:space="preserve">粤东沙田服务区南区  </t>
  </si>
  <si>
    <t xml:space="preserve">广东海信  </t>
  </si>
  <si>
    <t xml:space="preserve">粤东吉隆停车区北区  </t>
  </si>
  <si>
    <t xml:space="preserve">粤东吉隆停车区南区  </t>
  </si>
  <si>
    <t>江门市三江服务区南区</t>
  </si>
  <si>
    <t>江门市三江服务区北区</t>
  </si>
  <si>
    <t>广州市海珠图书馆</t>
  </si>
  <si>
    <t>广州市斯洛特健身房（爱都店）</t>
  </si>
  <si>
    <t>广州市孙逸仙南院区逸仙楼18楼全科科室</t>
  </si>
  <si>
    <t>粤东潮州服务区西区</t>
  </si>
  <si>
    <t>粤东潮州服务区东区</t>
  </si>
  <si>
    <t>中山市妇女儿童活动中心</t>
  </si>
  <si>
    <t>江门中国联通</t>
  </si>
  <si>
    <t>粤西柏桥服务区西区</t>
  </si>
  <si>
    <t>粤西柏桥服务区东区</t>
  </si>
  <si>
    <t>广东海信园区日益便利店</t>
  </si>
  <si>
    <t>广东阿麦斯员工之家</t>
  </si>
  <si>
    <t>深汕服务区南区</t>
  </si>
  <si>
    <t>深汕服务区北区</t>
  </si>
  <si>
    <t>平安服务区东区</t>
  </si>
  <si>
    <t>平安服务区西区</t>
  </si>
  <si>
    <t>租机2</t>
  </si>
  <si>
    <t>广州市通驿大院</t>
  </si>
  <si>
    <t>中山市税务局三乡税局</t>
  </si>
  <si>
    <t>粤东莲花山服务区南</t>
  </si>
  <si>
    <t>粤东莲花山服务区北区</t>
  </si>
  <si>
    <t>广州市孙逸仙南院区住院一楼</t>
  </si>
  <si>
    <t>粤东泰美服务区东区</t>
  </si>
  <si>
    <t>广东海信园区宿舍楼</t>
  </si>
  <si>
    <t>江门市爱尔新院</t>
  </si>
  <si>
    <t>小榄服务区服务大厅</t>
  </si>
  <si>
    <t>粤东泰美服务区西区</t>
  </si>
  <si>
    <t>江门市芯美轩康城店</t>
  </si>
  <si>
    <t>广州市孙逸仙花都区住院部一楼</t>
  </si>
  <si>
    <t>横栏服务区</t>
  </si>
  <si>
    <t>江门市中心医院外科五楼餐厅</t>
  </si>
  <si>
    <t>广州市白云区图书馆</t>
  </si>
  <si>
    <t>健怡远程</t>
  </si>
  <si>
    <t>白云站</t>
  </si>
  <si>
    <t>雅瑶站</t>
  </si>
  <si>
    <t>优宝科技园</t>
  </si>
  <si>
    <t>台山新宁站</t>
  </si>
  <si>
    <t>线上杯数</t>
  </si>
  <si>
    <t>线上金额</t>
  </si>
  <si>
    <t>线下杯数</t>
  </si>
  <si>
    <t>线下金额</t>
  </si>
  <si>
    <t>免费杯</t>
  </si>
  <si>
    <t>总杯数</t>
  </si>
  <si>
    <t>线上销售比例</t>
  </si>
  <si>
    <t>线下销售比例</t>
  </si>
  <si>
    <t>实际销售杯数</t>
  </si>
  <si>
    <t>粤西阳江服务区南区</t>
  </si>
  <si>
    <t>元山服务区西区</t>
  </si>
  <si>
    <t>元山服务区东区</t>
  </si>
  <si>
    <t>珠三角南沙服务区北区</t>
  </si>
  <si>
    <t>珠三角南沙服务区南区</t>
  </si>
  <si>
    <t>粤西新墟服务区南区</t>
  </si>
  <si>
    <t>粤西新墟服务区北区</t>
  </si>
  <si>
    <t>粤西司前服务区北区</t>
  </si>
  <si>
    <t>粤西司前服务区南区</t>
  </si>
  <si>
    <t>粤西苹塘服务区南区</t>
  </si>
  <si>
    <t>粤西苹塘服务区北区</t>
  </si>
  <si>
    <t>粤西新城服务区北区</t>
  </si>
  <si>
    <t>粤西安塘服务区南区</t>
  </si>
  <si>
    <t>粤西播植服务区北区</t>
  </si>
  <si>
    <t>粤西安塘服务区北区</t>
  </si>
  <si>
    <t>粤西新城服务区南区</t>
  </si>
  <si>
    <t>粤北梅花北服务区北区</t>
  </si>
  <si>
    <t>粤北梅花北服务区南区</t>
  </si>
  <si>
    <t>中山市税务局南楼2楼</t>
  </si>
  <si>
    <t>粤北英德服务区南区</t>
  </si>
  <si>
    <t>粤北英德服务区北区</t>
  </si>
  <si>
    <t>粤北乐昌服务区南区</t>
  </si>
  <si>
    <t>粤西圣堂服务区北区</t>
  </si>
  <si>
    <t>粤东横陂服务区西区</t>
  </si>
  <si>
    <t>粤东金灶服务区南区</t>
  </si>
  <si>
    <t>粤东横陂服务区东区</t>
  </si>
  <si>
    <t>粤东金灶服务区北区</t>
  </si>
  <si>
    <t>粤益金和服务区南区</t>
  </si>
  <si>
    <t>粤益金和服务区北区</t>
  </si>
  <si>
    <t>粤东莲花山服务区南区</t>
  </si>
  <si>
    <t>粤东蓝塘服务区北区</t>
  </si>
  <si>
    <t>珠三角蚬岗服务区南区</t>
  </si>
  <si>
    <t>珠三角蚬岗服务区北区</t>
  </si>
  <si>
    <t>享当当高流河服务区北区</t>
  </si>
  <si>
    <t>粤西梁金山服务区南区</t>
  </si>
  <si>
    <t>江门市中国电信</t>
  </si>
  <si>
    <t>江门高速交警四大队（三江）</t>
  </si>
  <si>
    <t>粤东多祝服务区北区</t>
  </si>
  <si>
    <t>广州市南医五院门诊</t>
  </si>
  <si>
    <t>广州市南医五院5楼手术室</t>
  </si>
  <si>
    <t>广州市南医五院外科楼</t>
  </si>
  <si>
    <t>粤北乐昌服务区北区</t>
  </si>
  <si>
    <t>享当当高流河服务区南区</t>
  </si>
  <si>
    <t>粤西阳西服务区南区</t>
  </si>
  <si>
    <t>粤西阳江服务区北区</t>
  </si>
  <si>
    <t>江门市中心医院外科大堂</t>
  </si>
  <si>
    <t>粤西阳西服务区北区</t>
  </si>
  <si>
    <t>江门市中心医院内科</t>
  </si>
  <si>
    <t>江门市拘留所</t>
  </si>
  <si>
    <t>水边服务区东区</t>
  </si>
  <si>
    <t>水边服务区西区</t>
  </si>
  <si>
    <t>新会人民医院住院部大堂</t>
  </si>
  <si>
    <t>新会人民医院门诊</t>
  </si>
  <si>
    <t>粤东吉隆停车区南区</t>
  </si>
  <si>
    <t>佛山安得智联</t>
  </si>
  <si>
    <t>东莞妇幼门诊4楼</t>
  </si>
  <si>
    <t>粤东吉隆停车区北区</t>
  </si>
  <si>
    <t>江门市新会龙泉沙滩</t>
  </si>
  <si>
    <t>江门市新会龙泉酒店</t>
  </si>
  <si>
    <t>江门市税务局</t>
  </si>
  <si>
    <t>江门市公安局</t>
  </si>
  <si>
    <t>粤西梁金山服务区北区</t>
  </si>
  <si>
    <t>广东海信</t>
  </si>
  <si>
    <t>广州市荔湾图书馆</t>
  </si>
  <si>
    <t xml:space="preserve">粤东沙田服务区南区 </t>
  </si>
  <si>
    <t>粤东沙田服务区北区</t>
  </si>
  <si>
    <t>臻盈公司2号咖啡机</t>
  </si>
  <si>
    <t>江门市联通大厦</t>
  </si>
  <si>
    <t>江门中国电信北郊电信楼</t>
  </si>
  <si>
    <t>广东海信宽带中心</t>
  </si>
  <si>
    <t>珠三角址山服务区</t>
  </si>
  <si>
    <t>粤东深汕服务区南区</t>
  </si>
  <si>
    <t>粤东深汕服务区北区</t>
  </si>
  <si>
    <t>粤东平安服务区东区</t>
  </si>
  <si>
    <t>粤东平安服务区西区</t>
  </si>
  <si>
    <t>广东海信来访中心</t>
  </si>
  <si>
    <t>珠三角小榄服务区大厅</t>
  </si>
  <si>
    <t>珠三角小榄服务区服务楼</t>
  </si>
  <si>
    <t>清远图书馆新馆</t>
  </si>
  <si>
    <t>清远图书馆旧馆</t>
  </si>
  <si>
    <t>实际售出杯数</t>
  </si>
  <si>
    <t>清远人民医院2号住院楼</t>
  </si>
  <si>
    <t>清远人民医院1号住院楼</t>
  </si>
  <si>
    <t>粤东蓝塘服务区南区</t>
  </si>
  <si>
    <t>站点</t>
  </si>
  <si>
    <t>机身码</t>
  </si>
  <si>
    <t>所属区域
（可以扫码录入）</t>
  </si>
  <si>
    <t>重复次数</t>
  </si>
  <si>
    <t>坏机，4.17已修复</t>
  </si>
  <si>
    <t>无法修复.换机</t>
  </si>
  <si>
    <t>督导</t>
  </si>
  <si>
    <t>机台数</t>
  </si>
  <si>
    <t>做表机台数</t>
  </si>
  <si>
    <t>做表数</t>
  </si>
  <si>
    <t>交表率</t>
  </si>
  <si>
    <t>机均交表数</t>
  </si>
  <si>
    <t>上周交表率</t>
  </si>
  <si>
    <t>本周杯量</t>
  </si>
  <si>
    <t>上周杯量</t>
  </si>
  <si>
    <t>涨跌</t>
  </si>
  <si>
    <t>初哥哥</t>
  </si>
  <si>
    <t>王梓烽</t>
  </si>
  <si>
    <t>臻盈咖啡运维-粤西张礼初(臻盈咖啡-张礼初)</t>
  </si>
  <si>
    <t>粤北梅花北服务区</t>
  </si>
  <si>
    <t>北区</t>
  </si>
  <si>
    <t>缺豆</t>
  </si>
  <si>
    <t>故障无影响</t>
  </si>
  <si>
    <t>通驿</t>
  </si>
  <si>
    <t>JL500</t>
  </si>
  <si>
    <t>技诺后台监控</t>
  </si>
  <si>
    <t>郭金燕</t>
  </si>
  <si>
    <t>江门市行政总汇</t>
  </si>
  <si>
    <t>故障料盒电机，搅拌电机故障</t>
  </si>
  <si>
    <t>已联系兼职，待处理</t>
  </si>
  <si>
    <t>无法修复</t>
  </si>
  <si>
    <t>清远人民医院</t>
  </si>
  <si>
    <t>门诊</t>
  </si>
  <si>
    <t>废水桶满</t>
  </si>
  <si>
    <r>
      <rPr>
        <b/>
        <sz val="22"/>
        <color theme="1"/>
        <rFont val="宋体"/>
        <charset val="134"/>
      </rPr>
      <t>碧桂园兼职交表情况（</t>
    </r>
    <r>
      <rPr>
        <b/>
        <sz val="22"/>
        <color rgb="FFFF0000"/>
        <rFont val="宋体"/>
        <charset val="134"/>
      </rPr>
      <t>每台每周不低于2次维护</t>
    </r>
    <r>
      <rPr>
        <b/>
        <sz val="22"/>
        <color theme="1"/>
        <rFont val="宋体"/>
        <charset val="134"/>
      </rPr>
      <t>）</t>
    </r>
  </si>
  <si>
    <t>序号</t>
  </si>
  <si>
    <t>点位</t>
  </si>
  <si>
    <t>运维人员</t>
  </si>
  <si>
    <t>负责点位</t>
  </si>
  <si>
    <t>设备台数</t>
  </si>
  <si>
    <t>4.13-4.19</t>
  </si>
  <si>
    <t>上周达标率</t>
  </si>
  <si>
    <t>上周故障明细</t>
  </si>
  <si>
    <t>4.6-4.12</t>
  </si>
  <si>
    <t>本周达标率</t>
  </si>
  <si>
    <t>本周故障明细</t>
  </si>
  <si>
    <t>督导人员</t>
  </si>
  <si>
    <t>张海亮</t>
  </si>
  <si>
    <t>粤东金灶服务区</t>
  </si>
  <si>
    <t>金灶北缺水</t>
  </si>
  <si>
    <t>4.7北区缺豆4.12缺豆</t>
  </si>
  <si>
    <t>林广圳</t>
  </si>
  <si>
    <t>粤东吉隆服务区</t>
  </si>
  <si>
    <t>☑️</t>
  </si>
  <si>
    <t>4.6缺水</t>
  </si>
  <si>
    <t>林海平</t>
  </si>
  <si>
    <t>粤东陶河服务区</t>
  </si>
  <si>
    <t>4.6北缺水.4.12缺水</t>
  </si>
  <si>
    <t>罗国祥</t>
  </si>
  <si>
    <t>粤东莲花山服务区</t>
  </si>
  <si>
    <t>龚中卫</t>
  </si>
  <si>
    <t>蚬岗服务区</t>
  </si>
  <si>
    <t>蚬岗南缺豆</t>
  </si>
  <si>
    <t>北缺水。4.9北缺水缺豆（9.00-17.39分）</t>
  </si>
  <si>
    <t>梁启光</t>
  </si>
  <si>
    <t>龙口服务区</t>
  </si>
  <si>
    <t>北区缺豆</t>
  </si>
  <si>
    <t>李伟</t>
  </si>
  <si>
    <t>斗门服务区</t>
  </si>
  <si>
    <t>余</t>
  </si>
  <si>
    <t>南沙服务区</t>
  </si>
  <si>
    <t>周年欢</t>
  </si>
  <si>
    <t>4.10缺水</t>
  </si>
  <si>
    <t>黎迪</t>
  </si>
  <si>
    <t>小榄服务区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</si>
</sst>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54">
    <font>
      <sz val="12"/>
      <color theme="1"/>
      <name val="Calibri"/>
      <charset val="134"/>
      <scheme val="minor"/>
    </font>
    <font>
      <sz val="18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b/>
      <sz val="22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4"/>
      <color theme="1"/>
      <name val="宋体"/>
      <charset val="134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sz val="18"/>
      <color rgb="FFFF0000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b/>
      <sz val="16"/>
      <color theme="1"/>
      <name val="宋体"/>
      <charset val="134"/>
    </font>
    <font>
      <b/>
      <sz val="18"/>
      <name val="宋体"/>
      <charset val="134"/>
    </font>
    <font>
      <sz val="11"/>
      <color theme="1"/>
      <name val="宋体"/>
      <charset val="134"/>
    </font>
    <font>
      <sz val="9"/>
      <name val="Wingdings 2"/>
      <charset val="134"/>
    </font>
    <font>
      <sz val="12"/>
      <name val="宋体"/>
      <charset val="134"/>
    </font>
    <font>
      <sz val="10"/>
      <color rgb="FF00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000000"/>
      <name val="宋体"/>
      <charset val="134"/>
    </font>
    <font>
      <sz val="14"/>
      <color rgb="FF319B62"/>
      <name val="宋体"/>
      <charset val="134"/>
    </font>
    <font>
      <sz val="12"/>
      <color theme="1"/>
      <name val="等线"/>
      <charset val="134"/>
    </font>
    <font>
      <b/>
      <sz val="12"/>
      <color theme="0"/>
      <name val="等线"/>
      <charset val="134"/>
    </font>
    <font>
      <sz val="12"/>
      <name val="等线"/>
      <charset val="134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0"/>
      <name val="等线"/>
      <charset val="134"/>
    </font>
    <font>
      <sz val="12"/>
      <color rgb="FFFF0000"/>
      <name val="等线"/>
      <charset val="134"/>
    </font>
    <font>
      <sz val="12"/>
      <color rgb="FF548235"/>
      <name val="Calibri"/>
      <charset val="134"/>
      <scheme val="minor"/>
    </font>
    <font>
      <sz val="12"/>
      <name val="Arial"/>
      <charset val="0"/>
    </font>
    <font>
      <sz val="16"/>
      <color theme="0"/>
      <name val="等线"/>
      <charset val="134"/>
    </font>
    <font>
      <sz val="14"/>
      <color theme="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Tahoma"/>
      <charset val="134"/>
    </font>
    <font>
      <b/>
      <sz val="22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6"/>
      </top>
      <bottom/>
      <diagonal/>
    </border>
    <border>
      <left/>
      <right style="thin">
        <color theme="4" tint="0.399976"/>
      </right>
      <top style="thin">
        <color theme="4" tint="0.399976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8" borderId="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8" applyNumberFormat="0" applyAlignment="0" applyProtection="0">
      <alignment vertical="center"/>
    </xf>
    <xf numFmtId="0" fontId="42" fillId="10" borderId="9" applyNumberFormat="0" applyAlignment="0" applyProtection="0">
      <alignment vertical="center"/>
    </xf>
    <xf numFmtId="0" fontId="43" fillId="10" borderId="8" applyNumberFormat="0" applyAlignment="0" applyProtection="0">
      <alignment vertical="center"/>
    </xf>
    <xf numFmtId="0" fontId="44" fillId="11" borderId="10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2" fillId="0" borderId="0" applyBorder="0"/>
  </cellStyleXfs>
  <cellXfs count="10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4" fillId="0" borderId="1" xfId="49" applyFont="1" applyBorder="1" applyAlignment="1">
      <alignment horizontal="center" vertical="center"/>
    </xf>
    <xf numFmtId="0" fontId="5" fillId="0" borderId="1" xfId="49" applyFont="1" applyBorder="1" applyAlignment="1" applyProtection="1">
      <alignment horizontal="center" vertical="center"/>
      <protection locked="0"/>
    </xf>
    <xf numFmtId="0" fontId="6" fillId="0" borderId="1" xfId="49" applyFont="1" applyBorder="1" applyAlignment="1" applyProtection="1">
      <alignment horizontal="center" vertical="center"/>
      <protection locked="0"/>
    </xf>
    <xf numFmtId="0" fontId="5" fillId="2" borderId="1" xfId="49" applyFont="1" applyFill="1" applyBorder="1" applyAlignment="1" applyProtection="1">
      <alignment horizontal="center" vertical="center"/>
      <protection locked="0"/>
    </xf>
    <xf numFmtId="0" fontId="5" fillId="2" borderId="1" xfId="49" applyFont="1" applyFill="1" applyBorder="1" applyAlignment="1" applyProtection="1">
      <alignment horizontal="center" vertical="center" wrapText="1"/>
      <protection locked="0"/>
    </xf>
    <xf numFmtId="0" fontId="6" fillId="0" borderId="1" xfId="49" applyFont="1" applyFill="1" applyBorder="1" applyAlignment="1" applyProtection="1">
      <alignment horizontal="center" vertical="center" wrapText="1"/>
      <protection locked="0"/>
    </xf>
    <xf numFmtId="0" fontId="5" fillId="0" borderId="1" xfId="49" applyFont="1" applyFill="1" applyBorder="1" applyAlignment="1" applyProtection="1">
      <alignment horizontal="center" vertical="center" wrapText="1"/>
      <protection locked="0"/>
    </xf>
    <xf numFmtId="0" fontId="7" fillId="0" borderId="1" xfId="49" applyFont="1" applyBorder="1" applyAlignment="1">
      <alignment horizontal="center" vertical="center"/>
    </xf>
    <xf numFmtId="0" fontId="8" fillId="0" borderId="1" xfId="49" applyFont="1" applyBorder="1" applyAlignment="1">
      <alignment horizontal="center" vertical="center" textRotation="255"/>
    </xf>
    <xf numFmtId="0" fontId="9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10" fillId="3" borderId="1" xfId="49" applyFont="1" applyFill="1" applyBorder="1" applyAlignment="1">
      <alignment horizontal="center" vertical="center"/>
    </xf>
    <xf numFmtId="0" fontId="11" fillId="0" borderId="1" xfId="49" applyFont="1" applyFill="1" applyBorder="1" applyAlignment="1">
      <alignment horizontal="center" vertical="center" wrapText="1"/>
    </xf>
    <xf numFmtId="0" fontId="9" fillId="2" borderId="1" xfId="49" applyFont="1" applyFill="1" applyBorder="1" applyAlignment="1">
      <alignment horizontal="center" vertical="center"/>
    </xf>
    <xf numFmtId="0" fontId="12" fillId="0" borderId="1" xfId="49" applyFont="1" applyFill="1" applyBorder="1" applyAlignment="1">
      <alignment horizontal="center" vertical="center" wrapText="1"/>
    </xf>
    <xf numFmtId="0" fontId="8" fillId="2" borderId="1" xfId="49" applyFont="1" applyFill="1" applyBorder="1" applyAlignment="1">
      <alignment horizontal="center" vertical="center"/>
    </xf>
    <xf numFmtId="0" fontId="13" fillId="0" borderId="1" xfId="49" applyFont="1" applyBorder="1" applyAlignment="1">
      <alignment horizontal="center" vertical="center"/>
    </xf>
    <xf numFmtId="0" fontId="14" fillId="0" borderId="1" xfId="49" applyFont="1" applyFill="1" applyBorder="1" applyAlignment="1">
      <alignment horizontal="center" vertical="center"/>
    </xf>
    <xf numFmtId="0" fontId="11" fillId="0" borderId="1" xfId="49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/>
    </xf>
    <xf numFmtId="0" fontId="6" fillId="3" borderId="1" xfId="49" applyFont="1" applyFill="1" applyBorder="1" applyAlignment="1" applyProtection="1">
      <alignment horizontal="center" vertical="center" wrapText="1"/>
      <protection locked="0"/>
    </xf>
    <xf numFmtId="0" fontId="5" fillId="3" borderId="1" xfId="49" applyFont="1" applyFill="1" applyBorder="1" applyAlignment="1" applyProtection="1">
      <alignment horizontal="center" vertical="center" wrapText="1"/>
      <protection locked="0"/>
    </xf>
    <xf numFmtId="0" fontId="5" fillId="3" borderId="1" xfId="49" applyFont="1" applyFill="1" applyBorder="1" applyAlignment="1" applyProtection="1">
      <alignment horizontal="center" vertical="center"/>
      <protection locked="0"/>
    </xf>
    <xf numFmtId="0" fontId="1" fillId="3" borderId="1" xfId="49" applyFont="1" applyFill="1" applyBorder="1" applyAlignment="1">
      <alignment horizontal="center" vertical="center"/>
    </xf>
    <xf numFmtId="0" fontId="15" fillId="3" borderId="1" xfId="49" applyFont="1" applyFill="1" applyBorder="1" applyAlignment="1">
      <alignment horizontal="center" vertical="center" wrapText="1"/>
    </xf>
    <xf numFmtId="58" fontId="7" fillId="0" borderId="1" xfId="49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5" fillId="3" borderId="1" xfId="49" applyFont="1" applyFill="1" applyBorder="1" applyAlignment="1">
      <alignment horizontal="center" vertical="center"/>
    </xf>
    <xf numFmtId="0" fontId="14" fillId="3" borderId="1" xfId="49" applyFont="1" applyFill="1" applyBorder="1" applyAlignment="1">
      <alignment horizontal="center" vertical="center"/>
    </xf>
    <xf numFmtId="0" fontId="7" fillId="3" borderId="1" xfId="49" applyFont="1" applyFill="1" applyBorder="1" applyAlignment="1">
      <alignment horizontal="center" vertical="center"/>
    </xf>
    <xf numFmtId="0" fontId="17" fillId="0" borderId="0" xfId="0" applyFont="1" applyFill="1" applyAlignment="1"/>
    <xf numFmtId="31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22" fontId="18" fillId="0" borderId="0" xfId="0" applyNumberFormat="1" applyFont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9" fillId="0" borderId="0" xfId="0" applyFont="1"/>
    <xf numFmtId="0" fontId="20" fillId="0" borderId="0" xfId="0" applyFont="1" applyFill="1" applyAlignment="1">
      <alignment horizontal="center"/>
    </xf>
    <xf numFmtId="10" fontId="20" fillId="0" borderId="0" xfId="0" applyNumberFormat="1" applyFont="1" applyFill="1" applyAlignment="1">
      <alignment horizontal="center"/>
    </xf>
    <xf numFmtId="43" fontId="20" fillId="0" borderId="0" xfId="3" applyNumberFormat="1" applyFont="1" applyFill="1" applyAlignment="1">
      <alignment horizontal="center"/>
    </xf>
    <xf numFmtId="9" fontId="20" fillId="0" borderId="0" xfId="3" applyFont="1" applyFill="1" applyAlignment="1">
      <alignment horizontal="center"/>
    </xf>
    <xf numFmtId="43" fontId="20" fillId="0" borderId="0" xfId="3" applyNumberFormat="1" applyFont="1" applyFill="1" applyAlignment="1" applyProtection="1">
      <alignment horizontal="center"/>
    </xf>
    <xf numFmtId="9" fontId="20" fillId="0" borderId="0" xfId="3" applyNumberFormat="1" applyFont="1" applyFill="1" applyBorder="1" applyAlignment="1" applyProtection="1">
      <alignment horizontal="center"/>
    </xf>
    <xf numFmtId="0" fontId="19" fillId="0" borderId="0" xfId="0" applyFont="1" applyAlignment="1">
      <alignment horizontal="center"/>
    </xf>
    <xf numFmtId="9" fontId="20" fillId="0" borderId="0" xfId="3" applyFont="1" applyFill="1" applyBorder="1" applyAlignment="1" applyProtection="1">
      <alignment horizontal="center"/>
    </xf>
    <xf numFmtId="0" fontId="20" fillId="0" borderId="0" xfId="0" applyFont="1" applyFill="1" applyAlignment="1">
      <alignment horizontal="center" vertical="center"/>
    </xf>
    <xf numFmtId="10" fontId="21" fillId="0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3" fillId="6" borderId="2" xfId="0" applyFont="1" applyFill="1" applyBorder="1" applyAlignment="1">
      <alignment horizontal="left" vertical="center" wrapText="1"/>
    </xf>
    <xf numFmtId="0" fontId="22" fillId="0" borderId="0" xfId="0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/>
    <xf numFmtId="0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NumberFormat="1" applyFont="1" applyFill="1" applyBorder="1" applyAlignment="1"/>
    <xf numFmtId="0" fontId="22" fillId="0" borderId="0" xfId="0" applyFont="1" applyFill="1" applyAlignment="1">
      <alignment horizontal="left" vertical="center"/>
    </xf>
    <xf numFmtId="0" fontId="24" fillId="0" borderId="0" xfId="0" applyNumberFormat="1" applyFont="1" applyFill="1" applyAlignment="1">
      <alignment horizontal="left" vertical="center"/>
    </xf>
    <xf numFmtId="0" fontId="22" fillId="5" borderId="0" xfId="0" applyNumberFormat="1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left" vertical="center"/>
    </xf>
    <xf numFmtId="0" fontId="26" fillId="0" borderId="0" xfId="0" applyFont="1" applyFill="1" applyAlignment="1"/>
    <xf numFmtId="0" fontId="24" fillId="0" borderId="0" xfId="0" applyFont="1" applyAlignment="1">
      <alignment horizontal="center" vertical="center"/>
    </xf>
    <xf numFmtId="176" fontId="22" fillId="0" borderId="0" xfId="0" applyNumberFormat="1" applyFont="1" applyAlignment="1">
      <alignment horizontal="left" vertical="center"/>
    </xf>
    <xf numFmtId="177" fontId="22" fillId="0" borderId="0" xfId="0" applyNumberFormat="1" applyFont="1" applyFill="1" applyBorder="1" applyAlignment="1">
      <alignment horizontal="left" vertical="center"/>
    </xf>
    <xf numFmtId="177" fontId="22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left" vertical="center"/>
    </xf>
    <xf numFmtId="177" fontId="22" fillId="0" borderId="0" xfId="0" applyNumberFormat="1" applyFont="1" applyFill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176" fontId="22" fillId="5" borderId="0" xfId="0" applyNumberFormat="1" applyFont="1" applyFill="1" applyAlignment="1">
      <alignment horizontal="left" vertical="center"/>
    </xf>
    <xf numFmtId="177" fontId="22" fillId="5" borderId="0" xfId="0" applyNumberFormat="1" applyFont="1" applyFill="1" applyAlignment="1">
      <alignment horizontal="left" vertical="center"/>
    </xf>
    <xf numFmtId="0" fontId="23" fillId="6" borderId="3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0" fontId="24" fillId="5" borderId="0" xfId="0" applyNumberFormat="1" applyFont="1" applyFill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177" fontId="22" fillId="5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0" fillId="0" borderId="0" xfId="0" applyNumberFormat="1"/>
    <xf numFmtId="0" fontId="28" fillId="5" borderId="0" xfId="0" applyFont="1" applyFill="1" applyAlignment="1">
      <alignment horizontal="left" vertical="center"/>
    </xf>
    <xf numFmtId="0" fontId="29" fillId="0" borderId="0" xfId="0" applyFont="1"/>
    <xf numFmtId="0" fontId="30" fillId="4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30" fillId="0" borderId="0" xfId="0" applyNumberFormat="1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15" fillId="7" borderId="4" xfId="0" applyFont="1" applyFill="1" applyBorder="1" applyAlignment="1">
      <alignment horizontal="center" vertical="center"/>
    </xf>
    <xf numFmtId="0" fontId="15" fillId="0" borderId="0" xfId="0" applyFont="1" applyFill="1" applyAlignment="1"/>
    <xf numFmtId="0" fontId="15" fillId="0" borderId="0" xfId="0" applyFont="1" applyFill="1" applyAlignment="1">
      <alignment wrapText="1"/>
    </xf>
    <xf numFmtId="10" fontId="0" fillId="0" borderId="0" xfId="0" applyNumberFormat="1" applyFont="1" applyFill="1" applyAlignment="1"/>
    <xf numFmtId="0" fontId="0" fillId="0" borderId="1" xfId="0" applyNumberFormat="1" applyFont="1" applyFill="1" applyBorder="1" applyAlignment="1"/>
    <xf numFmtId="10" fontId="0" fillId="0" borderId="1" xfId="0" applyNumberFormat="1" applyFont="1" applyFill="1" applyBorder="1" applyAlignment="1"/>
    <xf numFmtId="0" fontId="24" fillId="4" borderId="0" xfId="0" applyFont="1" applyFill="1" applyAlignment="1">
      <alignment horizontal="left" vertical="center"/>
    </xf>
    <xf numFmtId="0" fontId="31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5">
    <dxf>
      <fill>
        <patternFill patternType="solid">
          <bgColor theme="5" tint="0.6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95"/>
  <sheetViews>
    <sheetView zoomScale="115" zoomScaleNormal="115" workbookViewId="0">
      <pane ySplit="1" topLeftCell="A19" activePane="bottomLeft" state="frozen"/>
      <selection/>
      <selection pane="bottomLeft" activeCell="A1" sqref="$A1:$XFD190"/>
    </sheetView>
  </sheetViews>
  <sheetFormatPr defaultColWidth="9" defaultRowHeight="15.75"/>
  <cols>
    <col min="1" max="1" width="10" style="53" customWidth="1"/>
    <col min="2" max="2" width="8.46666666666667" style="53" customWidth="1"/>
    <col min="3" max="3" width="44.9916666666667" style="70" customWidth="1"/>
    <col min="4" max="4" width="11.2083333333333" style="53" customWidth="1"/>
    <col min="5" max="6" width="13.125" style="53" customWidth="1"/>
    <col min="7" max="7" width="12.6" style="53" customWidth="1"/>
    <col min="8" max="8" width="16.1" style="53" customWidth="1"/>
    <col min="9" max="10" width="17.6666666666667" style="53" customWidth="1"/>
    <col min="11" max="11" width="24.1166666666667" style="53" customWidth="1"/>
    <col min="12" max="12" width="22.1166666666667" style="53" customWidth="1"/>
    <col min="13" max="13" width="13.4" style="53" customWidth="1"/>
    <col min="14" max="14" width="22.8" style="53" customWidth="1"/>
    <col min="15" max="15" width="13.4" style="73" customWidth="1"/>
    <col min="16" max="16" width="13.4" style="53" customWidth="1"/>
    <col min="17" max="17" width="14.7" style="53" customWidth="1"/>
    <col min="18" max="19" width="13.4" style="53" customWidth="1"/>
    <col min="20" max="20" width="22.7" style="53" customWidth="1"/>
    <col min="21" max="28" width="9" style="53"/>
    <col min="29" max="30" width="9" style="81"/>
    <col min="31" max="16384" width="9" style="53"/>
  </cols>
  <sheetData>
    <row r="1" s="52" customFormat="1" ht="40.8" customHeight="1" spans="1:30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79" t="s">
        <v>19</v>
      </c>
      <c r="AC1" s="80"/>
      <c r="AD1" s="80"/>
    </row>
    <row r="2" ht="19.05" customHeight="1" spans="1:30">
      <c r="A2" s="61">
        <v>12248</v>
      </c>
      <c r="B2" s="57" t="s">
        <v>20</v>
      </c>
      <c r="C2" s="62" t="s">
        <v>21</v>
      </c>
      <c r="D2" s="57" t="s">
        <v>22</v>
      </c>
      <c r="F2" s="57">
        <v>2</v>
      </c>
      <c r="G2" s="57">
        <f>VLOOKUP(A2,运维频率!A2:B299,2,FALSE)</f>
        <v>2</v>
      </c>
      <c r="H2" s="57">
        <f>VLOOKUP(A2,上周期销售数据表!$A2:$O200,15,FALSE)</f>
        <v>25</v>
      </c>
      <c r="I2" s="57">
        <f>VLOOKUP(A2,本周期销售数据表!$A2:$O200,15,FALSE)</f>
        <v>28</v>
      </c>
      <c r="J2" s="71">
        <f t="shared" ref="J2:J16" si="0">(I2-H2)/H2*100%</f>
        <v>0.12</v>
      </c>
      <c r="K2" s="57">
        <f>VLOOKUP(A2,本周期销售数据表!$A2:$L200,10,FALSE)</f>
        <v>279.8</v>
      </c>
      <c r="L2" s="57">
        <f>VLOOKUP(A2,本周期销售数据表!$A2:$L200,7,FALSE)</f>
        <v>2</v>
      </c>
      <c r="M2" s="57"/>
      <c r="N2" s="57"/>
      <c r="O2" s="74"/>
      <c r="P2" s="57"/>
      <c r="Q2" s="57"/>
      <c r="R2" s="57"/>
      <c r="S2" s="57"/>
      <c r="T2" s="57"/>
      <c r="AC2" s="81">
        <f t="shared" ref="AC2:AC16" si="1">H2+20</f>
        <v>45</v>
      </c>
      <c r="AD2" s="81">
        <f t="shared" ref="AD2:AD16" si="2">H2-20</f>
        <v>5</v>
      </c>
    </row>
    <row r="3" ht="19.05" customHeight="1" spans="1:30">
      <c r="A3" s="61">
        <v>18890</v>
      </c>
      <c r="B3" s="57" t="s">
        <v>20</v>
      </c>
      <c r="C3" s="62" t="s">
        <v>23</v>
      </c>
      <c r="D3" s="57" t="s">
        <v>22</v>
      </c>
      <c r="F3" s="57">
        <v>3</v>
      </c>
      <c r="G3" s="57">
        <f>VLOOKUP(A3,运维频率!A2:B299,2,FALSE)</f>
        <v>3</v>
      </c>
      <c r="H3" s="57">
        <f>VLOOKUP(A3,上周期销售数据表!$A2:$O200,15,FALSE)</f>
        <v>63</v>
      </c>
      <c r="I3" s="57">
        <f>VLOOKUP(A3,本周期销售数据表!$A2:$O200,15,FALSE)</f>
        <v>57</v>
      </c>
      <c r="J3" s="71">
        <f t="shared" si="0"/>
        <v>-0.0952380952380952</v>
      </c>
      <c r="K3" s="57">
        <f>VLOOKUP(A3,本周期销售数据表!$A2:$L200,10,FALSE)</f>
        <v>565.64</v>
      </c>
      <c r="L3" s="57">
        <f>VLOOKUP(A3,本周期销售数据表!$A2:$L200,7,FALSE)</f>
        <v>1</v>
      </c>
      <c r="M3" s="57"/>
      <c r="N3" s="57"/>
      <c r="O3" s="74"/>
      <c r="P3" s="57"/>
      <c r="Q3" s="57"/>
      <c r="R3" s="57"/>
      <c r="S3" s="57"/>
      <c r="T3" s="57"/>
      <c r="AC3" s="81">
        <f t="shared" si="1"/>
        <v>83</v>
      </c>
      <c r="AD3" s="81">
        <f t="shared" si="2"/>
        <v>43</v>
      </c>
    </row>
    <row r="4" ht="19.05" customHeight="1" spans="1:30">
      <c r="A4" s="61">
        <v>51776</v>
      </c>
      <c r="B4" s="57" t="s">
        <v>20</v>
      </c>
      <c r="C4" s="62" t="s">
        <v>24</v>
      </c>
      <c r="D4" s="57" t="s">
        <v>22</v>
      </c>
      <c r="F4" s="57">
        <v>5</v>
      </c>
      <c r="G4" s="57">
        <f>VLOOKUP(A4,运维频率!A2:B299,2,FALSE)</f>
        <v>4</v>
      </c>
      <c r="H4" s="57">
        <f>VLOOKUP(A4,上周期销售数据表!$A2:$O200,15,FALSE)</f>
        <v>343</v>
      </c>
      <c r="I4" s="57">
        <f>VLOOKUP(A4,本周期销售数据表!$A2:$O200,15,FALSE)</f>
        <v>408</v>
      </c>
      <c r="J4" s="71">
        <f t="shared" si="0"/>
        <v>0.189504373177843</v>
      </c>
      <c r="K4" s="57">
        <f>VLOOKUP(A4,本周期销售数据表!$A2:$L200,10,FALSE)</f>
        <v>4694.74</v>
      </c>
      <c r="L4" s="57">
        <f>VLOOKUP(A4,本周期销售数据表!$A2:$L200,7,FALSE)</f>
        <v>3</v>
      </c>
      <c r="M4" s="57"/>
      <c r="N4" s="57"/>
      <c r="O4" s="74"/>
      <c r="P4" s="57"/>
      <c r="Q4" s="57"/>
      <c r="R4" s="57"/>
      <c r="S4" s="57"/>
      <c r="T4" s="57"/>
      <c r="AC4" s="81">
        <f t="shared" si="1"/>
        <v>363</v>
      </c>
      <c r="AD4" s="81">
        <f t="shared" si="2"/>
        <v>323</v>
      </c>
    </row>
    <row r="5" ht="19.05" customHeight="1" spans="1:30">
      <c r="A5" s="61">
        <v>52935</v>
      </c>
      <c r="B5" s="57" t="s">
        <v>20</v>
      </c>
      <c r="C5" s="62" t="s">
        <v>25</v>
      </c>
      <c r="D5" s="57" t="s">
        <v>22</v>
      </c>
      <c r="F5" s="57">
        <v>2</v>
      </c>
      <c r="G5" s="57">
        <f>VLOOKUP(A5,运维频率!A2:B299,2,FALSE)</f>
        <v>2</v>
      </c>
      <c r="H5" s="57">
        <f>VLOOKUP(A5,上周期销售数据表!$A2:$O200,15,FALSE)</f>
        <v>49</v>
      </c>
      <c r="I5" s="57">
        <f>VLOOKUP(A5,本周期销售数据表!$A2:$O200,15,FALSE)</f>
        <v>33</v>
      </c>
      <c r="J5" s="71">
        <f t="shared" si="0"/>
        <v>-0.326530612244898</v>
      </c>
      <c r="K5" s="57">
        <f>VLOOKUP(A5,本周期销售数据表!$A2:$L200,10,FALSE)</f>
        <v>323.9</v>
      </c>
      <c r="L5" s="57">
        <f>VLOOKUP(A5,本周期销售数据表!$A2:$L200,7,FALSE)</f>
        <v>2</v>
      </c>
      <c r="M5" s="57"/>
      <c r="N5" s="57"/>
      <c r="O5" s="74"/>
      <c r="P5" s="57"/>
      <c r="Q5" s="57"/>
      <c r="R5" s="57"/>
      <c r="S5" s="57"/>
      <c r="T5" s="57"/>
      <c r="AC5" s="81">
        <f t="shared" si="1"/>
        <v>69</v>
      </c>
      <c r="AD5" s="81">
        <f t="shared" si="2"/>
        <v>29</v>
      </c>
    </row>
    <row r="6" ht="19.05" customHeight="1" spans="1:30">
      <c r="A6" s="61">
        <v>35948</v>
      </c>
      <c r="B6" s="57" t="s">
        <v>20</v>
      </c>
      <c r="C6" s="62" t="s">
        <v>26</v>
      </c>
      <c r="D6" s="57" t="s">
        <v>22</v>
      </c>
      <c r="F6" s="57">
        <v>4</v>
      </c>
      <c r="G6" s="57">
        <f>VLOOKUP(A6,运维频率!A2:B299,2,FALSE)</f>
        <v>3</v>
      </c>
      <c r="H6" s="57">
        <f>VLOOKUP(A6,上周期销售数据表!$A2:$O200,15,FALSE)</f>
        <v>96</v>
      </c>
      <c r="I6" s="57">
        <f>VLOOKUP(A6,本周期销售数据表!$A2:$O200,15,FALSE)</f>
        <v>83</v>
      </c>
      <c r="J6" s="71">
        <f t="shared" si="0"/>
        <v>-0.135416666666667</v>
      </c>
      <c r="K6" s="57">
        <f>VLOOKUP(A6,本周期销售数据表!$A2:$L200,10,FALSE)</f>
        <v>922.5</v>
      </c>
      <c r="L6" s="57">
        <f>VLOOKUP(A6,本周期销售数据表!$A2:$L200,7,FALSE)</f>
        <v>2</v>
      </c>
      <c r="M6" s="57"/>
      <c r="N6" s="57"/>
      <c r="O6" s="74"/>
      <c r="P6" s="57"/>
      <c r="Q6" s="57"/>
      <c r="R6" s="57"/>
      <c r="S6" s="57"/>
      <c r="T6" s="57"/>
      <c r="AC6" s="81">
        <f t="shared" si="1"/>
        <v>116</v>
      </c>
      <c r="AD6" s="81">
        <f t="shared" si="2"/>
        <v>76</v>
      </c>
    </row>
    <row r="7" ht="19.05" hidden="1" customHeight="1" spans="1:30">
      <c r="A7" s="61">
        <v>74081</v>
      </c>
      <c r="B7" s="57" t="s">
        <v>27</v>
      </c>
      <c r="C7" s="62" t="s">
        <v>28</v>
      </c>
      <c r="D7" s="57" t="s">
        <v>29</v>
      </c>
      <c r="F7" s="57">
        <v>2</v>
      </c>
      <c r="G7" s="57">
        <f>VLOOKUP(A7,运维频率!A2:B299,2,FALSE)</f>
        <v>1</v>
      </c>
      <c r="H7" s="57">
        <f>VLOOKUP(A7,上周期销售数据表!$A2:$O200,15,FALSE)</f>
        <v>192</v>
      </c>
      <c r="I7" s="57">
        <f>VLOOKUP(A7,本周期销售数据表!$A2:$O200,15,FALSE)</f>
        <v>50</v>
      </c>
      <c r="J7" s="71">
        <f t="shared" si="0"/>
        <v>-0.739583333333333</v>
      </c>
      <c r="K7" s="57">
        <f>VLOOKUP(A7,本周期销售数据表!$A2:$L200,10,FALSE)</f>
        <v>812.4</v>
      </c>
      <c r="L7" s="57">
        <f>VLOOKUP(A7,本周期销售数据表!$A2:$L200,7,FALSE)</f>
        <v>0</v>
      </c>
      <c r="M7" s="57"/>
      <c r="N7" s="57"/>
      <c r="O7" s="74"/>
      <c r="P7" s="57"/>
      <c r="Q7" s="57"/>
      <c r="R7" s="57"/>
      <c r="S7" s="57"/>
      <c r="T7" s="57"/>
      <c r="AC7" s="81">
        <f t="shared" si="1"/>
        <v>212</v>
      </c>
      <c r="AD7" s="81">
        <f t="shared" si="2"/>
        <v>172</v>
      </c>
    </row>
    <row r="8" s="54" customFormat="1" ht="19.05" customHeight="1" spans="1:30">
      <c r="A8" s="66">
        <v>19712</v>
      </c>
      <c r="B8" s="67" t="s">
        <v>20</v>
      </c>
      <c r="C8" s="68" t="s">
        <v>30</v>
      </c>
      <c r="D8" s="67" t="s">
        <v>22</v>
      </c>
      <c r="F8" s="67">
        <v>0</v>
      </c>
      <c r="G8" s="67">
        <f>VLOOKUP(A8,运维频率!A2:B299,2,FALSE)</f>
        <v>0</v>
      </c>
      <c r="H8" s="67" t="e">
        <f>VLOOKUP(A8,上周期销售数据表!$A2:$O200,15,FALSE)</f>
        <v>#N/A</v>
      </c>
      <c r="I8" s="67" t="e">
        <f>VLOOKUP(A8,本周期销售数据表!$A2:$O200,15,FALSE)</f>
        <v>#N/A</v>
      </c>
      <c r="J8" s="77" t="e">
        <f t="shared" si="0"/>
        <v>#N/A</v>
      </c>
      <c r="K8" s="67" t="e">
        <f>VLOOKUP(A8,本周期销售数据表!$A2:$L200,10,FALSE)</f>
        <v>#N/A</v>
      </c>
      <c r="L8" s="67" t="e">
        <f>VLOOKUP(A8,本周期销售数据表!$A2:$L200,7,FALSE)</f>
        <v>#N/A</v>
      </c>
      <c r="M8" s="67"/>
      <c r="N8" s="67"/>
      <c r="O8" s="78"/>
      <c r="P8" s="67"/>
      <c r="Q8" s="67"/>
      <c r="R8" s="67"/>
      <c r="S8" s="67"/>
      <c r="T8" s="67"/>
      <c r="AC8" s="82" t="e">
        <f t="shared" si="1"/>
        <v>#N/A</v>
      </c>
      <c r="AD8" s="82" t="e">
        <f t="shared" si="2"/>
        <v>#N/A</v>
      </c>
    </row>
    <row r="9" ht="19.05" customHeight="1" spans="1:30">
      <c r="A9" s="61">
        <v>19662</v>
      </c>
      <c r="B9" s="57" t="s">
        <v>20</v>
      </c>
      <c r="C9" s="62" t="s">
        <v>31</v>
      </c>
      <c r="D9" s="57" t="s">
        <v>22</v>
      </c>
      <c r="F9" s="57">
        <v>2</v>
      </c>
      <c r="G9" s="57">
        <f>VLOOKUP(A9,运维频率!A2:B299,2,FALSE)</f>
        <v>1</v>
      </c>
      <c r="H9" s="57">
        <f>VLOOKUP(A9,上周期销售数据表!$A2:$O200,15,FALSE)</f>
        <v>22</v>
      </c>
      <c r="I9" s="57">
        <f>VLOOKUP(A9,本周期销售数据表!$A2:$O200,15,FALSE)</f>
        <v>5</v>
      </c>
      <c r="J9" s="71">
        <f t="shared" si="0"/>
        <v>-0.772727272727273</v>
      </c>
      <c r="K9" s="57">
        <f>VLOOKUP(A9,本周期销售数据表!$A2:$L200,10,FALSE)</f>
        <v>30.4</v>
      </c>
      <c r="L9" s="57">
        <f>VLOOKUP(A9,本周期销售数据表!$A2:$L200,7,FALSE)</f>
        <v>3</v>
      </c>
      <c r="M9" s="57"/>
      <c r="N9" s="57"/>
      <c r="O9" s="74"/>
      <c r="P9" s="57"/>
      <c r="Q9" s="57"/>
      <c r="R9" s="57"/>
      <c r="S9" s="57"/>
      <c r="T9" s="57"/>
      <c r="AC9" s="81">
        <f t="shared" si="1"/>
        <v>42</v>
      </c>
      <c r="AD9" s="81">
        <f t="shared" si="2"/>
        <v>2</v>
      </c>
    </row>
    <row r="10" ht="19.05" customHeight="1" spans="1:30">
      <c r="A10" s="61">
        <v>68720</v>
      </c>
      <c r="B10" s="57" t="s">
        <v>20</v>
      </c>
      <c r="C10" s="62" t="s">
        <v>32</v>
      </c>
      <c r="D10" s="57" t="s">
        <v>22</v>
      </c>
      <c r="F10" s="57">
        <v>2</v>
      </c>
      <c r="G10" s="57">
        <f>VLOOKUP(A10,运维频率!A2:B299,2,FALSE)</f>
        <v>2</v>
      </c>
      <c r="H10" s="57">
        <f>VLOOKUP(A10,上周期销售数据表!$A2:$O200,15,FALSE)</f>
        <v>30</v>
      </c>
      <c r="I10" s="57">
        <f>VLOOKUP(A10,本周期销售数据表!$A2:$O200,15,FALSE)</f>
        <v>34</v>
      </c>
      <c r="J10" s="71">
        <f t="shared" si="0"/>
        <v>0.133333333333333</v>
      </c>
      <c r="K10" s="57">
        <f>VLOOKUP(A10,本周期销售数据表!$A2:$L200,10,FALSE)</f>
        <v>376.4</v>
      </c>
      <c r="L10" s="57">
        <f>VLOOKUP(A10,本周期销售数据表!$A2:$L200,7,FALSE)</f>
        <v>2</v>
      </c>
      <c r="M10" s="57"/>
      <c r="N10" s="57"/>
      <c r="O10" s="74"/>
      <c r="P10" s="57"/>
      <c r="Q10" s="57"/>
      <c r="R10" s="57"/>
      <c r="S10" s="57"/>
      <c r="T10" s="57"/>
      <c r="AC10" s="81">
        <f t="shared" si="1"/>
        <v>50</v>
      </c>
      <c r="AD10" s="81">
        <f t="shared" si="2"/>
        <v>10</v>
      </c>
    </row>
    <row r="11" ht="19.05" customHeight="1" spans="1:30">
      <c r="A11" s="61">
        <v>68721</v>
      </c>
      <c r="B11" s="57" t="s">
        <v>20</v>
      </c>
      <c r="C11" s="62" t="s">
        <v>33</v>
      </c>
      <c r="D11" s="57" t="s">
        <v>22</v>
      </c>
      <c r="F11" s="57">
        <v>1</v>
      </c>
      <c r="G11" s="57">
        <f>VLOOKUP(A11,运维频率!A2:B299,2,FALSE)</f>
        <v>3</v>
      </c>
      <c r="H11" s="57">
        <f>VLOOKUP(A11,上周期销售数据表!$A2:$O200,15,FALSE)</f>
        <v>33</v>
      </c>
      <c r="I11" s="57">
        <f>VLOOKUP(A11,本周期销售数据表!$A2:$O200,15,FALSE)</f>
        <v>24</v>
      </c>
      <c r="J11" s="71">
        <f t="shared" si="0"/>
        <v>-0.272727272727273</v>
      </c>
      <c r="K11" s="57">
        <f>VLOOKUP(A11,本周期销售数据表!$A2:$L200,10,FALSE)</f>
        <v>273.3</v>
      </c>
      <c r="L11" s="57">
        <f>VLOOKUP(A11,本周期销售数据表!$A2:$L200,7,FALSE)</f>
        <v>4</v>
      </c>
      <c r="M11" s="57"/>
      <c r="N11" s="57"/>
      <c r="O11" s="74"/>
      <c r="P11" s="57"/>
      <c r="Q11" s="57"/>
      <c r="R11" s="57"/>
      <c r="S11" s="57"/>
      <c r="T11" s="57"/>
      <c r="AC11" s="81">
        <f t="shared" si="1"/>
        <v>53</v>
      </c>
      <c r="AD11" s="81">
        <f t="shared" si="2"/>
        <v>13</v>
      </c>
    </row>
    <row r="12" ht="19.05" customHeight="1" spans="1:30">
      <c r="A12" s="61">
        <v>13441</v>
      </c>
      <c r="B12" s="57" t="s">
        <v>20</v>
      </c>
      <c r="C12" s="62" t="s">
        <v>34</v>
      </c>
      <c r="D12" s="57" t="s">
        <v>22</v>
      </c>
      <c r="F12" s="57">
        <v>1</v>
      </c>
      <c r="G12" s="57">
        <f>VLOOKUP(A12,运维频率!A2:B299,2,FALSE)</f>
        <v>1</v>
      </c>
      <c r="H12" s="57">
        <f>VLOOKUP(A12,上周期销售数据表!$A2:$O200,15,FALSE)</f>
        <v>12</v>
      </c>
      <c r="I12" s="57">
        <f>VLOOKUP(A12,本周期销售数据表!$A2:$O200,15,FALSE)</f>
        <v>5</v>
      </c>
      <c r="J12" s="71">
        <f t="shared" si="0"/>
        <v>-0.583333333333333</v>
      </c>
      <c r="K12" s="57">
        <f>VLOOKUP(A12,本周期销售数据表!$A2:$L200,10,FALSE)</f>
        <v>54</v>
      </c>
      <c r="L12" s="57">
        <f>VLOOKUP(A12,本周期销售数据表!$A2:$L200,7,FALSE)</f>
        <v>1</v>
      </c>
      <c r="M12" s="57"/>
      <c r="N12" s="57"/>
      <c r="O12" s="74"/>
      <c r="P12" s="57"/>
      <c r="Q12" s="57"/>
      <c r="R12" s="57"/>
      <c r="S12" s="57"/>
      <c r="T12" s="57"/>
      <c r="AC12" s="81">
        <f t="shared" si="1"/>
        <v>32</v>
      </c>
      <c r="AD12" s="81">
        <f t="shared" si="2"/>
        <v>-8</v>
      </c>
    </row>
    <row r="13" ht="19.05" hidden="1" customHeight="1" spans="1:30">
      <c r="A13" s="61">
        <v>26039</v>
      </c>
      <c r="B13" s="57" t="s">
        <v>20</v>
      </c>
      <c r="C13" s="62" t="s">
        <v>35</v>
      </c>
      <c r="D13" s="57" t="s">
        <v>36</v>
      </c>
      <c r="F13" s="57">
        <v>1</v>
      </c>
      <c r="G13" s="57">
        <f>VLOOKUP(A13,运维频率!A2:B299,2,FALSE)</f>
        <v>2</v>
      </c>
      <c r="H13" s="57">
        <f>VLOOKUP(A13,上周期销售数据表!$A2:$O200,15,FALSE)</f>
        <v>11</v>
      </c>
      <c r="I13" s="57">
        <f>VLOOKUP(A13,本周期销售数据表!$A2:$O200,15,FALSE)</f>
        <v>10</v>
      </c>
      <c r="J13" s="71">
        <f t="shared" si="0"/>
        <v>-0.0909090909090909</v>
      </c>
      <c r="K13" s="57">
        <f>VLOOKUP(A13,本周期销售数据表!$A2:$L200,10,FALSE)</f>
        <v>110</v>
      </c>
      <c r="L13" s="57">
        <f>VLOOKUP(A13,本周期销售数据表!$A2:$L200,7,FALSE)</f>
        <v>1</v>
      </c>
      <c r="M13" s="57"/>
      <c r="N13" s="57"/>
      <c r="O13" s="74"/>
      <c r="P13" s="57"/>
      <c r="Q13" s="57"/>
      <c r="R13" s="57"/>
      <c r="S13" s="57"/>
      <c r="T13" s="57"/>
      <c r="AC13" s="81">
        <f t="shared" si="1"/>
        <v>31</v>
      </c>
      <c r="AD13" s="81">
        <f t="shared" si="2"/>
        <v>-9</v>
      </c>
    </row>
    <row r="14" s="54" customFormat="1" ht="19.05" customHeight="1" spans="1:30">
      <c r="A14" s="66">
        <v>22520</v>
      </c>
      <c r="B14" s="67" t="s">
        <v>20</v>
      </c>
      <c r="C14" s="68" t="s">
        <v>37</v>
      </c>
      <c r="D14" s="67" t="s">
        <v>22</v>
      </c>
      <c r="F14" s="67">
        <v>0</v>
      </c>
      <c r="G14" s="67">
        <f>VLOOKUP(A14,运维频率!A2:B299,2,FALSE)</f>
        <v>0</v>
      </c>
      <c r="H14" s="67" t="e">
        <f>VLOOKUP(A14,上周期销售数据表!$A2:$O200,15,FALSE)</f>
        <v>#N/A</v>
      </c>
      <c r="I14" s="67" t="e">
        <f>VLOOKUP(A14,本周期销售数据表!$A2:$O200,15,FALSE)</f>
        <v>#N/A</v>
      </c>
      <c r="J14" s="77" t="e">
        <f t="shared" si="0"/>
        <v>#N/A</v>
      </c>
      <c r="K14" s="67" t="e">
        <f>VLOOKUP(A14,本周期销售数据表!$A2:$L200,10,FALSE)</f>
        <v>#N/A</v>
      </c>
      <c r="L14" s="67" t="e">
        <f>VLOOKUP(A14,本周期销售数据表!$A2:$L200,7,FALSE)</f>
        <v>#N/A</v>
      </c>
      <c r="M14" s="67"/>
      <c r="N14" s="67"/>
      <c r="O14" s="78"/>
      <c r="P14" s="67"/>
      <c r="Q14" s="67"/>
      <c r="R14" s="67"/>
      <c r="S14" s="67"/>
      <c r="T14" s="67"/>
      <c r="AC14" s="82" t="e">
        <f t="shared" si="1"/>
        <v>#N/A</v>
      </c>
      <c r="AD14" s="82" t="e">
        <f t="shared" si="2"/>
        <v>#N/A</v>
      </c>
    </row>
    <row r="15" ht="19.05" customHeight="1" spans="1:30">
      <c r="A15" s="61">
        <v>23399</v>
      </c>
      <c r="B15" s="57" t="s">
        <v>20</v>
      </c>
      <c r="C15" s="62" t="s">
        <v>38</v>
      </c>
      <c r="D15" s="57" t="s">
        <v>22</v>
      </c>
      <c r="F15" s="57">
        <v>2</v>
      </c>
      <c r="G15" s="57">
        <f>VLOOKUP(A15,运维频率!A2:B299,2,FALSE)</f>
        <v>2</v>
      </c>
      <c r="H15" s="57">
        <f>VLOOKUP(A15,上周期销售数据表!$A2:$O200,15,FALSE)</f>
        <v>41</v>
      </c>
      <c r="I15" s="57">
        <f>VLOOKUP(A15,本周期销售数据表!$A2:$O200,15,FALSE)</f>
        <v>40</v>
      </c>
      <c r="J15" s="71">
        <f t="shared" si="0"/>
        <v>-0.024390243902439</v>
      </c>
      <c r="K15" s="57">
        <f>VLOOKUP(A15,本周期销售数据表!$A2:$L200,10,FALSE)</f>
        <v>408</v>
      </c>
      <c r="L15" s="57">
        <f>VLOOKUP(A15,本周期销售数据表!$A2:$L200,7,FALSE)</f>
        <v>2</v>
      </c>
      <c r="M15" s="57"/>
      <c r="N15" s="57"/>
      <c r="O15" s="74"/>
      <c r="P15" s="57"/>
      <c r="Q15" s="57"/>
      <c r="R15" s="57"/>
      <c r="S15" s="57"/>
      <c r="T15" s="57"/>
      <c r="AC15" s="81">
        <f t="shared" si="1"/>
        <v>61</v>
      </c>
      <c r="AD15" s="81">
        <f t="shared" si="2"/>
        <v>21</v>
      </c>
    </row>
    <row r="16" ht="19.05" customHeight="1" spans="1:30">
      <c r="A16" s="59">
        <v>33525</v>
      </c>
      <c r="B16" s="59" t="s">
        <v>20</v>
      </c>
      <c r="C16" s="65" t="s">
        <v>39</v>
      </c>
      <c r="D16" s="59" t="s">
        <v>22</v>
      </c>
      <c r="F16" s="57">
        <v>2</v>
      </c>
      <c r="G16" s="57">
        <f>VLOOKUP(A16,运维频率!A2:B299,2,FALSE)</f>
        <v>2</v>
      </c>
      <c r="H16" s="57">
        <f>VLOOKUP(A16,上周期销售数据表!$A2:$O200,15,FALSE)</f>
        <v>18</v>
      </c>
      <c r="I16" s="57">
        <f>VLOOKUP(A16,本周期销售数据表!$A2:$O200,15,FALSE)</f>
        <v>22</v>
      </c>
      <c r="J16" s="71">
        <f t="shared" si="0"/>
        <v>0.222222222222222</v>
      </c>
      <c r="K16" s="57">
        <f>VLOOKUP(A16,本周期销售数据表!$A2:$L200,10,FALSE)</f>
        <v>66.5</v>
      </c>
      <c r="L16" s="57">
        <f>VLOOKUP(A16,本周期销售数据表!$A2:$L200,7,FALSE)</f>
        <v>1</v>
      </c>
      <c r="M16" s="57"/>
      <c r="N16" s="57"/>
      <c r="O16" s="74"/>
      <c r="P16" s="57"/>
      <c r="Q16" s="57"/>
      <c r="R16" s="57"/>
      <c r="S16" s="57"/>
      <c r="T16" s="57"/>
      <c r="AC16" s="81">
        <f t="shared" si="1"/>
        <v>38</v>
      </c>
      <c r="AD16" s="81">
        <f t="shared" si="2"/>
        <v>-2</v>
      </c>
    </row>
    <row r="17" ht="19.05" customHeight="1" spans="1:30">
      <c r="A17" s="61">
        <v>23400</v>
      </c>
      <c r="B17" s="57" t="s">
        <v>20</v>
      </c>
      <c r="C17" s="62" t="s">
        <v>40</v>
      </c>
      <c r="D17" s="57" t="s">
        <v>22</v>
      </c>
      <c r="F17" s="57">
        <v>1</v>
      </c>
      <c r="G17" s="57">
        <f>VLOOKUP(A17,运维频率!A2:B299,2,FALSE)</f>
        <v>1</v>
      </c>
      <c r="H17" s="57">
        <f>VLOOKUP(A17,上周期销售数据表!$A2:$O200,15,FALSE)</f>
        <v>49</v>
      </c>
      <c r="I17" s="57">
        <f>VLOOKUP(A17,本周期销售数据表!$A2:$O200,15,FALSE)</f>
        <v>57</v>
      </c>
      <c r="J17" s="71">
        <f t="shared" ref="J17:J33" si="3">(I17-H17)/H17*100%</f>
        <v>0.163265306122449</v>
      </c>
      <c r="K17" s="57">
        <f>VLOOKUP(A17,本周期销售数据表!$A2:$L200,10,FALSE)</f>
        <v>356</v>
      </c>
      <c r="L17" s="57">
        <f>VLOOKUP(A17,本周期销售数据表!$A2:$L200,7,FALSE)</f>
        <v>8</v>
      </c>
      <c r="M17" s="57"/>
      <c r="N17" s="57"/>
      <c r="O17" s="74"/>
      <c r="P17" s="57"/>
      <c r="Q17" s="57"/>
      <c r="R17" s="57"/>
      <c r="S17" s="57"/>
      <c r="T17" s="57"/>
      <c r="AC17" s="81">
        <f t="shared" ref="AC17:AC33" si="4">H17+20</f>
        <v>69</v>
      </c>
      <c r="AD17" s="81">
        <f t="shared" ref="AD17:AD33" si="5">H17-20</f>
        <v>29</v>
      </c>
    </row>
    <row r="18" ht="19.05" customHeight="1" spans="1:30">
      <c r="A18" s="61">
        <v>13444</v>
      </c>
      <c r="B18" s="57" t="s">
        <v>20</v>
      </c>
      <c r="C18" s="62" t="s">
        <v>41</v>
      </c>
      <c r="D18" s="57" t="s">
        <v>22</v>
      </c>
      <c r="F18" s="57">
        <v>1</v>
      </c>
      <c r="G18" s="57">
        <f>VLOOKUP(A18,运维频率!A2:B299,2,FALSE)</f>
        <v>1</v>
      </c>
      <c r="H18" s="57">
        <f>VLOOKUP(A18,上周期销售数据表!$A2:$O200,15,FALSE)</f>
        <v>19</v>
      </c>
      <c r="I18" s="57">
        <f>VLOOKUP(A18,本周期销售数据表!$A2:$O200,15,FALSE)</f>
        <v>6</v>
      </c>
      <c r="J18" s="71">
        <f t="shared" si="3"/>
        <v>-0.684210526315789</v>
      </c>
      <c r="K18" s="57">
        <f>VLOOKUP(A18,本周期销售数据表!$A2:$L200,10,FALSE)</f>
        <v>59</v>
      </c>
      <c r="L18" s="57">
        <f>VLOOKUP(A18,本周期销售数据表!$A2:$L200,7,FALSE)</f>
        <v>0</v>
      </c>
      <c r="M18" s="57"/>
      <c r="N18" s="57"/>
      <c r="O18" s="74"/>
      <c r="P18" s="57"/>
      <c r="Q18" s="57"/>
      <c r="R18" s="57"/>
      <c r="S18" s="57"/>
      <c r="T18" s="57"/>
      <c r="AC18" s="81">
        <f t="shared" si="4"/>
        <v>39</v>
      </c>
      <c r="AD18" s="81">
        <f t="shared" si="5"/>
        <v>-1</v>
      </c>
    </row>
    <row r="19" s="54" customFormat="1" ht="19.05" customHeight="1" spans="1:30">
      <c r="A19" s="66">
        <v>21634</v>
      </c>
      <c r="B19" s="67" t="s">
        <v>20</v>
      </c>
      <c r="C19" s="68" t="s">
        <v>42</v>
      </c>
      <c r="D19" s="67" t="s">
        <v>22</v>
      </c>
      <c r="F19" s="67">
        <v>0</v>
      </c>
      <c r="G19" s="67">
        <f>VLOOKUP(A19,运维频率!A2:B299,2,FALSE)</f>
        <v>0</v>
      </c>
      <c r="H19" s="67" t="e">
        <f>VLOOKUP(A19,上周期销售数据表!$A2:$O200,15,FALSE)</f>
        <v>#N/A</v>
      </c>
      <c r="I19" s="67" t="e">
        <f>VLOOKUP(A19,本周期销售数据表!$A2:$O200,15,FALSE)</f>
        <v>#N/A</v>
      </c>
      <c r="J19" s="77" t="e">
        <f t="shared" si="3"/>
        <v>#N/A</v>
      </c>
      <c r="K19" s="67" t="e">
        <f>VLOOKUP(A19,本周期销售数据表!$A2:$L200,10,FALSE)</f>
        <v>#N/A</v>
      </c>
      <c r="L19" s="67" t="e">
        <f>VLOOKUP(A19,本周期销售数据表!$A2:$L200,7,FALSE)</f>
        <v>#N/A</v>
      </c>
      <c r="M19" s="67"/>
      <c r="N19" s="67"/>
      <c r="O19" s="78"/>
      <c r="P19" s="67"/>
      <c r="Q19" s="67"/>
      <c r="R19" s="67"/>
      <c r="S19" s="67"/>
      <c r="T19" s="67"/>
      <c r="AC19" s="82" t="e">
        <f t="shared" si="4"/>
        <v>#N/A</v>
      </c>
      <c r="AD19" s="82" t="e">
        <f t="shared" si="5"/>
        <v>#N/A</v>
      </c>
    </row>
    <row r="20" s="54" customFormat="1" ht="19.05" customHeight="1" spans="1:30">
      <c r="A20" s="66">
        <v>19391</v>
      </c>
      <c r="B20" s="67" t="s">
        <v>20</v>
      </c>
      <c r="C20" s="68" t="s">
        <v>43</v>
      </c>
      <c r="D20" s="67" t="s">
        <v>22</v>
      </c>
      <c r="F20" s="67">
        <v>0</v>
      </c>
      <c r="G20" s="67">
        <f>VLOOKUP(A20,运维频率!A2:B299,2,FALSE)</f>
        <v>0</v>
      </c>
      <c r="H20" s="67" t="e">
        <f>VLOOKUP(A20,上周期销售数据表!$A2:$O200,15,FALSE)</f>
        <v>#N/A</v>
      </c>
      <c r="I20" s="67" t="e">
        <f>VLOOKUP(A20,本周期销售数据表!$A2:$O200,15,FALSE)</f>
        <v>#N/A</v>
      </c>
      <c r="J20" s="77" t="e">
        <f t="shared" si="3"/>
        <v>#N/A</v>
      </c>
      <c r="K20" s="67" t="e">
        <f>VLOOKUP(A20,本周期销售数据表!$A2:$L200,10,FALSE)</f>
        <v>#N/A</v>
      </c>
      <c r="L20" s="67" t="e">
        <f>VLOOKUP(A20,本周期销售数据表!$A2:$L200,7,FALSE)</f>
        <v>#N/A</v>
      </c>
      <c r="M20" s="67"/>
      <c r="N20" s="67"/>
      <c r="O20" s="78"/>
      <c r="P20" s="67"/>
      <c r="Q20" s="67"/>
      <c r="R20" s="67"/>
      <c r="S20" s="67"/>
      <c r="T20" s="67"/>
      <c r="AC20" s="82" t="e">
        <f t="shared" si="4"/>
        <v>#N/A</v>
      </c>
      <c r="AD20" s="82" t="e">
        <f t="shared" si="5"/>
        <v>#N/A</v>
      </c>
    </row>
    <row r="21" ht="19.05" customHeight="1" spans="1:30">
      <c r="A21" s="61">
        <v>16690</v>
      </c>
      <c r="B21" s="57" t="s">
        <v>20</v>
      </c>
      <c r="C21" s="62" t="s">
        <v>44</v>
      </c>
      <c r="D21" s="57" t="s">
        <v>22</v>
      </c>
      <c r="F21" s="57">
        <v>3</v>
      </c>
      <c r="G21" s="57">
        <f>VLOOKUP(A21,运维频率!A2:B299,2,FALSE)</f>
        <v>2</v>
      </c>
      <c r="H21" s="57">
        <f>VLOOKUP(A21,上周期销售数据表!$A2:$O200,15,FALSE)</f>
        <v>45</v>
      </c>
      <c r="I21" s="57">
        <f>VLOOKUP(A21,本周期销售数据表!$A2:$O200,15,FALSE)</f>
        <v>97</v>
      </c>
      <c r="J21" s="71">
        <f t="shared" si="3"/>
        <v>1.15555555555556</v>
      </c>
      <c r="K21" s="57">
        <f>VLOOKUP(A21,本周期销售数据表!$A2:$L200,10,FALSE)</f>
        <v>463.5</v>
      </c>
      <c r="L21" s="57">
        <f>VLOOKUP(A21,本周期销售数据表!$A2:$L200,7,FALSE)</f>
        <v>1</v>
      </c>
      <c r="M21" s="57"/>
      <c r="N21" s="57"/>
      <c r="O21" s="74"/>
      <c r="P21" s="57"/>
      <c r="Q21" s="57"/>
      <c r="R21" s="57"/>
      <c r="S21" s="57"/>
      <c r="T21" s="57"/>
      <c r="AC21" s="81">
        <f t="shared" si="4"/>
        <v>65</v>
      </c>
      <c r="AD21" s="81">
        <f t="shared" si="5"/>
        <v>25</v>
      </c>
    </row>
    <row r="22" ht="19.05" customHeight="1" spans="1:30">
      <c r="A22" s="61">
        <v>12268</v>
      </c>
      <c r="B22" s="57" t="s">
        <v>20</v>
      </c>
      <c r="C22" s="62" t="s">
        <v>45</v>
      </c>
      <c r="D22" s="57" t="s">
        <v>22</v>
      </c>
      <c r="F22" s="57">
        <v>1</v>
      </c>
      <c r="G22" s="57">
        <f>VLOOKUP(A22,运维频率!A2:B299,2,FALSE)</f>
        <v>1</v>
      </c>
      <c r="H22" s="57">
        <f>VLOOKUP(A22,上周期销售数据表!$A2:$O200,15,FALSE)</f>
        <v>15</v>
      </c>
      <c r="I22" s="57">
        <f>VLOOKUP(A22,本周期销售数据表!$A2:$O200,15,FALSE)</f>
        <v>8</v>
      </c>
      <c r="J22" s="71">
        <f t="shared" si="3"/>
        <v>-0.466666666666667</v>
      </c>
      <c r="K22" s="57">
        <f>VLOOKUP(A22,本周期销售数据表!$A2:$L200,10,FALSE)</f>
        <v>64.6</v>
      </c>
      <c r="L22" s="57">
        <f>VLOOKUP(A22,本周期销售数据表!$A2:$L200,7,FALSE)</f>
        <v>1</v>
      </c>
      <c r="M22" s="57"/>
      <c r="N22" s="57"/>
      <c r="O22" s="74"/>
      <c r="P22" s="57"/>
      <c r="Q22" s="57"/>
      <c r="R22" s="57"/>
      <c r="S22" s="57"/>
      <c r="T22" s="57"/>
      <c r="AC22" s="81">
        <f t="shared" si="4"/>
        <v>35</v>
      </c>
      <c r="AD22" s="81">
        <f t="shared" si="5"/>
        <v>-5</v>
      </c>
    </row>
    <row r="23" s="54" customFormat="1" ht="19.05" hidden="1" customHeight="1" spans="1:30">
      <c r="A23" s="66">
        <v>23479</v>
      </c>
      <c r="B23" s="67" t="s">
        <v>20</v>
      </c>
      <c r="C23" s="68" t="s">
        <v>46</v>
      </c>
      <c r="D23" s="67" t="s">
        <v>29</v>
      </c>
      <c r="F23" s="67">
        <v>0</v>
      </c>
      <c r="G23" s="67">
        <f>VLOOKUP(A23,运维频率!A2:B299,2,FALSE)</f>
        <v>0</v>
      </c>
      <c r="H23" s="67" t="e">
        <f>VLOOKUP(A23,上周期销售数据表!$A2:$O200,15,FALSE)</f>
        <v>#N/A</v>
      </c>
      <c r="I23" s="67" t="e">
        <f>VLOOKUP(A23,本周期销售数据表!$A2:$O200,15,FALSE)</f>
        <v>#N/A</v>
      </c>
      <c r="J23" s="77" t="e">
        <f t="shared" si="3"/>
        <v>#N/A</v>
      </c>
      <c r="K23" s="67" t="e">
        <f>VLOOKUP(A23,本周期销售数据表!$A2:$L200,10,FALSE)</f>
        <v>#N/A</v>
      </c>
      <c r="L23" s="67" t="e">
        <f>VLOOKUP(A23,本周期销售数据表!$A2:$L200,7,FALSE)</f>
        <v>#N/A</v>
      </c>
      <c r="M23" s="67"/>
      <c r="N23" s="67"/>
      <c r="O23" s="78"/>
      <c r="P23" s="67"/>
      <c r="Q23" s="67"/>
      <c r="R23" s="67"/>
      <c r="S23" s="67"/>
      <c r="T23" s="89"/>
      <c r="AC23" s="82" t="e">
        <f t="shared" si="4"/>
        <v>#N/A</v>
      </c>
      <c r="AD23" s="82" t="e">
        <f t="shared" si="5"/>
        <v>#N/A</v>
      </c>
    </row>
    <row r="24" ht="19.05" customHeight="1" spans="1:30">
      <c r="A24" s="61">
        <v>12239</v>
      </c>
      <c r="B24" s="57" t="s">
        <v>20</v>
      </c>
      <c r="C24" s="62" t="s">
        <v>47</v>
      </c>
      <c r="D24" s="57" t="s">
        <v>22</v>
      </c>
      <c r="F24" s="57">
        <v>1</v>
      </c>
      <c r="G24" s="57">
        <f>VLOOKUP(A24,运维频率!A2:B299,2,FALSE)</f>
        <v>1</v>
      </c>
      <c r="H24" s="57">
        <f>VLOOKUP(A24,上周期销售数据表!$A2:$O200,15,FALSE)</f>
        <v>38</v>
      </c>
      <c r="I24" s="57">
        <f>VLOOKUP(A24,本周期销售数据表!$A2:$O200,15,FALSE)</f>
        <v>21</v>
      </c>
      <c r="J24" s="71">
        <f t="shared" si="3"/>
        <v>-0.447368421052632</v>
      </c>
      <c r="K24" s="57">
        <f>VLOOKUP(A24,本周期销售数据表!$A2:$L200,10,FALSE)</f>
        <v>164.8</v>
      </c>
      <c r="L24" s="57">
        <f>VLOOKUP(A24,本周期销售数据表!$A2:$L200,7,FALSE)</f>
        <v>4</v>
      </c>
      <c r="M24" s="57"/>
      <c r="N24" s="57"/>
      <c r="O24" s="74"/>
      <c r="P24" s="57"/>
      <c r="Q24" s="57"/>
      <c r="R24" s="57"/>
      <c r="S24" s="57"/>
      <c r="T24" s="57"/>
      <c r="AC24" s="81">
        <f t="shared" si="4"/>
        <v>58</v>
      </c>
      <c r="AD24" s="81">
        <f t="shared" si="5"/>
        <v>18</v>
      </c>
    </row>
    <row r="25" ht="19.05" customHeight="1" spans="1:30">
      <c r="A25" s="61">
        <v>12266</v>
      </c>
      <c r="B25" s="57" t="s">
        <v>20</v>
      </c>
      <c r="C25" s="62" t="s">
        <v>48</v>
      </c>
      <c r="D25" s="57" t="s">
        <v>22</v>
      </c>
      <c r="F25" s="57">
        <v>2</v>
      </c>
      <c r="G25" s="57">
        <f>VLOOKUP(A25,运维频率!A2:B299,2,FALSE)</f>
        <v>2</v>
      </c>
      <c r="H25" s="57">
        <f>VLOOKUP(A25,上周期销售数据表!$A2:$O200,15,FALSE)</f>
        <v>70</v>
      </c>
      <c r="I25" s="57">
        <f>VLOOKUP(A25,本周期销售数据表!$A2:$O200,15,FALSE)</f>
        <v>79</v>
      </c>
      <c r="J25" s="71">
        <f t="shared" si="3"/>
        <v>0.128571428571429</v>
      </c>
      <c r="K25" s="57">
        <f>VLOOKUP(A25,本周期销售数据表!$A2:$L200,10,FALSE)</f>
        <v>281.05</v>
      </c>
      <c r="L25" s="57">
        <f>VLOOKUP(A25,本周期销售数据表!$A2:$L200,7,FALSE)</f>
        <v>1</v>
      </c>
      <c r="M25" s="57"/>
      <c r="N25" s="57"/>
      <c r="O25" s="74"/>
      <c r="P25" s="57"/>
      <c r="Q25" s="57"/>
      <c r="R25" s="57"/>
      <c r="S25" s="57"/>
      <c r="T25" s="57"/>
      <c r="AC25" s="81">
        <f t="shared" si="4"/>
        <v>90</v>
      </c>
      <c r="AD25" s="81">
        <f t="shared" si="5"/>
        <v>50</v>
      </c>
    </row>
    <row r="26" ht="19.05" hidden="1" customHeight="1" spans="1:30">
      <c r="A26" s="61">
        <v>23398</v>
      </c>
      <c r="B26" s="57" t="s">
        <v>20</v>
      </c>
      <c r="C26" s="62" t="s">
        <v>49</v>
      </c>
      <c r="D26" s="57" t="s">
        <v>29</v>
      </c>
      <c r="F26" s="57">
        <v>2</v>
      </c>
      <c r="G26" s="57">
        <f>VLOOKUP(A26,运维频率!A2:B299,2,FALSE)</f>
        <v>1</v>
      </c>
      <c r="H26" s="57">
        <f>VLOOKUP(A26,上周期销售数据表!$A2:$O200,15,FALSE)</f>
        <v>6</v>
      </c>
      <c r="I26" s="57">
        <f>VLOOKUP(A26,本周期销售数据表!$A2:$O200,15,FALSE)</f>
        <v>9</v>
      </c>
      <c r="J26" s="71">
        <f t="shared" si="3"/>
        <v>0.5</v>
      </c>
      <c r="K26" s="57">
        <f>VLOOKUP(A26,本周期销售数据表!$A2:$L200,10,FALSE)</f>
        <v>130.3</v>
      </c>
      <c r="L26" s="57">
        <f>VLOOKUP(A26,本周期销售数据表!$A2:$L200,7,FALSE)</f>
        <v>2</v>
      </c>
      <c r="M26" s="57"/>
      <c r="N26" s="57"/>
      <c r="O26" s="74"/>
      <c r="P26" s="57"/>
      <c r="Q26" s="57"/>
      <c r="R26" s="57"/>
      <c r="S26" s="57"/>
      <c r="T26" s="57"/>
      <c r="AC26" s="81">
        <f t="shared" si="4"/>
        <v>26</v>
      </c>
      <c r="AD26" s="81">
        <f t="shared" si="5"/>
        <v>-14</v>
      </c>
    </row>
    <row r="27" ht="19.05" hidden="1" customHeight="1" spans="1:30">
      <c r="A27" s="61">
        <v>37604</v>
      </c>
      <c r="B27" s="57" t="s">
        <v>20</v>
      </c>
      <c r="C27" s="62" t="s">
        <v>50</v>
      </c>
      <c r="D27" s="56" t="s">
        <v>51</v>
      </c>
      <c r="F27" s="57">
        <v>0</v>
      </c>
      <c r="G27" s="57">
        <f>VLOOKUP(A27,运维频率!A2:B299,2,FALSE)</f>
        <v>0</v>
      </c>
      <c r="H27" s="57">
        <f>VLOOKUP(A27,上周期销售数据表!$A2:$O200,15,FALSE)</f>
        <v>35</v>
      </c>
      <c r="I27" s="57">
        <f>VLOOKUP(A27,本周期销售数据表!$A2:$O200,15,FALSE)</f>
        <v>40</v>
      </c>
      <c r="J27" s="71">
        <f t="shared" si="3"/>
        <v>0.142857142857143</v>
      </c>
      <c r="K27" s="57">
        <f>VLOOKUP(A27,本周期销售数据表!$A2:$L200,10,FALSE)</f>
        <v>151.5</v>
      </c>
      <c r="L27" s="57">
        <f>VLOOKUP(A27,本周期销售数据表!$A2:$L200,7,FALSE)</f>
        <v>2</v>
      </c>
      <c r="M27" s="57"/>
      <c r="N27" s="57"/>
      <c r="O27" s="74"/>
      <c r="P27" s="57"/>
      <c r="Q27" s="57"/>
      <c r="R27" s="57"/>
      <c r="S27" s="57"/>
      <c r="T27" s="57"/>
      <c r="AC27" s="81">
        <f t="shared" si="4"/>
        <v>55</v>
      </c>
      <c r="AD27" s="81">
        <f t="shared" si="5"/>
        <v>15</v>
      </c>
    </row>
    <row r="28" spans="1:30">
      <c r="A28" s="56">
        <v>23401</v>
      </c>
      <c r="B28" s="57" t="s">
        <v>20</v>
      </c>
      <c r="C28" s="58" t="s">
        <v>52</v>
      </c>
      <c r="D28" s="57" t="s">
        <v>22</v>
      </c>
      <c r="F28" s="57">
        <v>0</v>
      </c>
      <c r="G28" s="57">
        <f>VLOOKUP(A28,运维频率!A2:B299,2,FALSE)</f>
        <v>1</v>
      </c>
      <c r="H28" s="57">
        <f>VLOOKUP(A28,上周期销售数据表!$A2:$O200,15,FALSE)</f>
        <v>3</v>
      </c>
      <c r="I28" s="57">
        <f>VLOOKUP(A28,本周期销售数据表!$A2:$O200,15,FALSE)</f>
        <v>0</v>
      </c>
      <c r="J28" s="71">
        <f t="shared" si="3"/>
        <v>-1</v>
      </c>
      <c r="K28" s="57">
        <f>VLOOKUP(A28,本周期销售数据表!$A2:$L200,10,FALSE)</f>
        <v>0</v>
      </c>
      <c r="L28" s="57">
        <f>VLOOKUP(A28,本周期销售数据表!$A2:$L200,7,FALSE)</f>
        <v>1</v>
      </c>
      <c r="M28" s="56"/>
      <c r="N28" s="56"/>
      <c r="O28" s="72"/>
      <c r="P28" s="56"/>
      <c r="Q28" s="56"/>
      <c r="R28" s="56"/>
      <c r="S28" s="56"/>
      <c r="T28" s="56"/>
      <c r="AC28" s="81">
        <f t="shared" si="4"/>
        <v>23</v>
      </c>
      <c r="AD28" s="81">
        <f t="shared" si="5"/>
        <v>-17</v>
      </c>
    </row>
    <row r="29" spans="1:30">
      <c r="A29" s="56">
        <v>19823</v>
      </c>
      <c r="B29" s="57" t="s">
        <v>20</v>
      </c>
      <c r="C29" s="58" t="s">
        <v>53</v>
      </c>
      <c r="D29" s="57" t="s">
        <v>22</v>
      </c>
      <c r="F29" s="57">
        <v>1</v>
      </c>
      <c r="G29" s="57">
        <f>VLOOKUP(A29,运维频率!A2:B299,2,FALSE)</f>
        <v>1</v>
      </c>
      <c r="H29" s="57">
        <f>VLOOKUP(A29,上周期销售数据表!$A2:$O200,15,FALSE)</f>
        <v>10</v>
      </c>
      <c r="I29" s="57">
        <f>VLOOKUP(A29,本周期销售数据表!$A2:$O200,15,FALSE)</f>
        <v>11</v>
      </c>
      <c r="J29" s="71">
        <f t="shared" si="3"/>
        <v>0.1</v>
      </c>
      <c r="K29" s="57">
        <f>VLOOKUP(A29,本周期销售数据表!$A2:$L200,10,FALSE)</f>
        <v>50</v>
      </c>
      <c r="L29" s="57">
        <f>VLOOKUP(A29,本周期销售数据表!$A2:$L200,7,FALSE)</f>
        <v>2</v>
      </c>
      <c r="M29" s="59"/>
      <c r="N29" s="59"/>
      <c r="O29" s="75"/>
      <c r="P29" s="59"/>
      <c r="Q29" s="59"/>
      <c r="R29" s="59"/>
      <c r="S29" s="59"/>
      <c r="T29" s="59"/>
      <c r="AC29" s="81">
        <f t="shared" si="4"/>
        <v>30</v>
      </c>
      <c r="AD29" s="81">
        <f t="shared" si="5"/>
        <v>-10</v>
      </c>
    </row>
    <row r="30" spans="1:30">
      <c r="A30" s="56">
        <v>22254</v>
      </c>
      <c r="B30" s="57" t="s">
        <v>20</v>
      </c>
      <c r="C30" s="63" t="s">
        <v>54</v>
      </c>
      <c r="D30" s="57" t="s">
        <v>22</v>
      </c>
      <c r="F30" s="57">
        <v>1</v>
      </c>
      <c r="G30" s="57">
        <f>VLOOKUP(A30,运维频率!A2:B299,2,FALSE)</f>
        <v>1</v>
      </c>
      <c r="H30" s="57">
        <f>VLOOKUP(A30,上周期销售数据表!$A2:$O200,15,FALSE)</f>
        <v>10</v>
      </c>
      <c r="I30" s="57">
        <f>VLOOKUP(A30,本周期销售数据表!$A2:$O200,15,FALSE)</f>
        <v>5</v>
      </c>
      <c r="J30" s="71">
        <f t="shared" si="3"/>
        <v>-0.5</v>
      </c>
      <c r="K30" s="57">
        <f>VLOOKUP(A30,本周期销售数据表!$A2:$L200,10,FALSE)</f>
        <v>28</v>
      </c>
      <c r="L30" s="57">
        <f>VLOOKUP(A30,本周期销售数据表!$A2:$L200,7,FALSE)</f>
        <v>1</v>
      </c>
      <c r="M30" s="59"/>
      <c r="N30" s="59"/>
      <c r="O30" s="75"/>
      <c r="P30" s="59"/>
      <c r="Q30" s="59"/>
      <c r="R30" s="59"/>
      <c r="S30" s="59"/>
      <c r="T30" s="59"/>
      <c r="AC30" s="81">
        <f t="shared" si="4"/>
        <v>30</v>
      </c>
      <c r="AD30" s="81">
        <f t="shared" si="5"/>
        <v>-10</v>
      </c>
    </row>
    <row r="31" hidden="1" spans="1:30">
      <c r="A31" s="56">
        <v>39288</v>
      </c>
      <c r="B31" s="57" t="s">
        <v>20</v>
      </c>
      <c r="C31" s="58" t="s">
        <v>55</v>
      </c>
      <c r="D31" s="56" t="s">
        <v>51</v>
      </c>
      <c r="F31" s="57">
        <v>0</v>
      </c>
      <c r="G31" s="57">
        <f>VLOOKUP(A31,运维频率!A2:B299,2,FALSE)</f>
        <v>0</v>
      </c>
      <c r="H31" s="57">
        <f>VLOOKUP(A31,上周期销售数据表!$A2:$O200,15,FALSE)</f>
        <v>20</v>
      </c>
      <c r="I31" s="57">
        <f>VLOOKUP(A31,本周期销售数据表!$A2:$O200,15,FALSE)</f>
        <v>20</v>
      </c>
      <c r="J31" s="71">
        <f t="shared" si="3"/>
        <v>0</v>
      </c>
      <c r="K31" s="57">
        <f>VLOOKUP(A31,本周期销售数据表!$A2:$L200,10,FALSE)</f>
        <v>169</v>
      </c>
      <c r="L31" s="57">
        <f>VLOOKUP(A31,本周期销售数据表!$A2:$L200,7,FALSE)</f>
        <v>0</v>
      </c>
      <c r="M31" s="59"/>
      <c r="N31" s="59"/>
      <c r="O31" s="75"/>
      <c r="P31" s="59"/>
      <c r="Q31" s="59"/>
      <c r="R31" s="59"/>
      <c r="S31" s="59"/>
      <c r="T31" s="59"/>
      <c r="AC31" s="81">
        <f t="shared" si="4"/>
        <v>40</v>
      </c>
      <c r="AD31" s="81">
        <f t="shared" si="5"/>
        <v>0</v>
      </c>
    </row>
    <row r="32" hidden="1" spans="1:30">
      <c r="A32" s="56">
        <v>39289</v>
      </c>
      <c r="B32" s="57" t="s">
        <v>20</v>
      </c>
      <c r="C32" s="58" t="s">
        <v>56</v>
      </c>
      <c r="D32" s="56" t="s">
        <v>51</v>
      </c>
      <c r="F32" s="57">
        <v>0</v>
      </c>
      <c r="G32" s="57">
        <f>VLOOKUP(A32,运维频率!A2:B299,2,FALSE)</f>
        <v>0</v>
      </c>
      <c r="H32" s="57">
        <f>VLOOKUP(A32,上周期销售数据表!$A2:$O200,15,FALSE)</f>
        <v>32</v>
      </c>
      <c r="I32" s="57">
        <f>VLOOKUP(A32,本周期销售数据表!$A2:$O200,15,FALSE)</f>
        <v>30</v>
      </c>
      <c r="J32" s="71">
        <f t="shared" ref="J32:J75" si="6">(I32-H32)/H32*100%</f>
        <v>-0.0625</v>
      </c>
      <c r="K32" s="57">
        <f>VLOOKUP(A32,本周期销售数据表!$A2:$L200,10,FALSE)</f>
        <v>269</v>
      </c>
      <c r="L32" s="57">
        <f>VLOOKUP(A32,本周期销售数据表!$A2:$L200,7,FALSE)</f>
        <v>0</v>
      </c>
      <c r="M32" s="59"/>
      <c r="N32" s="59"/>
      <c r="O32" s="75"/>
      <c r="P32" s="59"/>
      <c r="Q32" s="59"/>
      <c r="R32" s="59"/>
      <c r="S32" s="59"/>
      <c r="T32" s="59"/>
      <c r="AC32" s="81">
        <f t="shared" ref="AC32:AC75" si="7">H32+20</f>
        <v>52</v>
      </c>
      <c r="AD32" s="81">
        <f t="shared" ref="AD32:AD75" si="8">H32-20</f>
        <v>12</v>
      </c>
    </row>
    <row r="33" hidden="1" spans="1:30">
      <c r="A33" s="59">
        <v>67234</v>
      </c>
      <c r="B33" s="64" t="s">
        <v>57</v>
      </c>
      <c r="C33" s="83" t="s">
        <v>58</v>
      </c>
      <c r="D33" s="57" t="s">
        <v>29</v>
      </c>
      <c r="E33" s="56"/>
      <c r="F33" s="57">
        <v>3</v>
      </c>
      <c r="G33" s="57">
        <f>VLOOKUP(A33,运维频率!A2:B299,2,FALSE)</f>
        <v>1</v>
      </c>
      <c r="H33" s="57">
        <f>VLOOKUP(A33,上周期销售数据表!$A2:$O200,15,FALSE)</f>
        <v>246</v>
      </c>
      <c r="I33" s="57">
        <f>VLOOKUP(A33,本周期销售数据表!$A2:$O200,15,FALSE)</f>
        <v>114</v>
      </c>
      <c r="J33" s="71">
        <f t="shared" si="6"/>
        <v>-0.536585365853659</v>
      </c>
      <c r="K33" s="57">
        <f>VLOOKUP(A33,本周期销售数据表!A2:M200,10,FALSE)</f>
        <v>1817.7</v>
      </c>
      <c r="L33" s="57">
        <f>VLOOKUP(A33,本周期销售数据表!A2:N200,7,FALSE)</f>
        <v>2</v>
      </c>
      <c r="AC33" s="81">
        <f t="shared" si="7"/>
        <v>266</v>
      </c>
      <c r="AD33" s="81">
        <f t="shared" si="8"/>
        <v>226</v>
      </c>
    </row>
    <row r="34" spans="1:30">
      <c r="A34" s="59">
        <v>22253</v>
      </c>
      <c r="B34" s="64" t="s">
        <v>20</v>
      </c>
      <c r="C34" s="65" t="s">
        <v>59</v>
      </c>
      <c r="D34" s="57" t="s">
        <v>22</v>
      </c>
      <c r="F34" s="57">
        <v>2</v>
      </c>
      <c r="G34" s="57">
        <f>VLOOKUP(A34,运维频率!A2:B299,2,FALSE)</f>
        <v>2</v>
      </c>
      <c r="H34" s="57">
        <f>VLOOKUP(A34,上周期销售数据表!$A2:$O200,15,FALSE)</f>
        <v>10</v>
      </c>
      <c r="I34" s="57">
        <f>VLOOKUP(A34,本周期销售数据表!$A2:$O200,15,FALSE)</f>
        <v>6</v>
      </c>
      <c r="J34" s="71">
        <f t="shared" si="6"/>
        <v>-0.4</v>
      </c>
      <c r="K34" s="57">
        <f>VLOOKUP(A34,本周期销售数据表!$A2:$L200,10,FALSE)</f>
        <v>25.3</v>
      </c>
      <c r="L34" s="57">
        <f>VLOOKUP(A34,本周期销售数据表!$A2:$L200,7,FALSE)</f>
        <v>0</v>
      </c>
      <c r="AC34" s="81">
        <f t="shared" si="7"/>
        <v>30</v>
      </c>
      <c r="AD34" s="81">
        <f t="shared" si="8"/>
        <v>-10</v>
      </c>
    </row>
    <row r="35" hidden="1" spans="1:30">
      <c r="A35" s="59">
        <v>12241</v>
      </c>
      <c r="B35" s="64" t="s">
        <v>57</v>
      </c>
      <c r="C35" s="83" t="s">
        <v>60</v>
      </c>
      <c r="D35" s="57" t="s">
        <v>29</v>
      </c>
      <c r="F35" s="57">
        <v>1</v>
      </c>
      <c r="G35" s="57">
        <f>VLOOKUP(A35,运维频率!A2:B299,2,FALSE)</f>
        <v>2</v>
      </c>
      <c r="H35" s="57">
        <f>VLOOKUP(A35,上周期销售数据表!$A2:$O200,15,FALSE)</f>
        <v>55</v>
      </c>
      <c r="I35" s="57">
        <f>VLOOKUP(A35,本周期销售数据表!$A2:$O200,15,FALSE)</f>
        <v>19</v>
      </c>
      <c r="J35" s="71">
        <f t="shared" si="6"/>
        <v>-0.654545454545455</v>
      </c>
      <c r="K35" s="57">
        <f>VLOOKUP(A35,本周期销售数据表!$A2:$L200,10,FALSE)</f>
        <v>266</v>
      </c>
      <c r="L35" s="57">
        <f>VLOOKUP(A35,本周期销售数据表!$A2:$L200,7,FALSE)</f>
        <v>0</v>
      </c>
      <c r="AC35" s="81">
        <f t="shared" si="7"/>
        <v>75</v>
      </c>
      <c r="AD35" s="81">
        <f t="shared" si="8"/>
        <v>35</v>
      </c>
    </row>
    <row r="36" hidden="1" spans="1:30">
      <c r="A36" s="59">
        <v>12256</v>
      </c>
      <c r="B36" s="64" t="s">
        <v>57</v>
      </c>
      <c r="C36" s="83" t="s">
        <v>61</v>
      </c>
      <c r="D36" s="57" t="s">
        <v>29</v>
      </c>
      <c r="F36" s="57">
        <v>1</v>
      </c>
      <c r="G36" s="57">
        <f>VLOOKUP(A36,运维频率!A2:B299,2,FALSE)</f>
        <v>2</v>
      </c>
      <c r="H36" s="57">
        <f>VLOOKUP(A36,上周期销售数据表!$A3:$O201,15,FALSE)</f>
        <v>8</v>
      </c>
      <c r="I36" s="57">
        <f>VLOOKUP(A36,本周期销售数据表!$A2:$O200,15,FALSE)</f>
        <v>2</v>
      </c>
      <c r="J36" s="71">
        <f t="shared" si="6"/>
        <v>-0.75</v>
      </c>
      <c r="K36" s="57">
        <f>VLOOKUP(A36,本周期销售数据表!$A2:$L200,10,FALSE)</f>
        <v>33.6</v>
      </c>
      <c r="L36" s="57">
        <f>VLOOKUP(A36,本周期销售数据表!$A2:$L200,7,FALSE)</f>
        <v>2</v>
      </c>
      <c r="AC36" s="81">
        <f t="shared" si="7"/>
        <v>28</v>
      </c>
      <c r="AD36" s="81">
        <f t="shared" si="8"/>
        <v>-12</v>
      </c>
    </row>
    <row r="37" hidden="1" spans="1:30">
      <c r="A37" s="59">
        <v>20770</v>
      </c>
      <c r="B37" s="64" t="s">
        <v>57</v>
      </c>
      <c r="C37" s="83" t="s">
        <v>62</v>
      </c>
      <c r="D37" s="57" t="s">
        <v>29</v>
      </c>
      <c r="F37" s="57">
        <v>2</v>
      </c>
      <c r="G37" s="57">
        <f>VLOOKUP(A37,运维频率!A2:B299,2,FALSE)</f>
        <v>2</v>
      </c>
      <c r="H37" s="57">
        <f>VLOOKUP(A37,上周期销售数据表!$A2:$O200,15,FALSE)</f>
        <v>75</v>
      </c>
      <c r="I37" s="57">
        <f>VLOOKUP(A37,本周期销售数据表!$A2:$O200,15,FALSE)</f>
        <v>27</v>
      </c>
      <c r="J37" s="71">
        <f t="shared" si="6"/>
        <v>-0.64</v>
      </c>
      <c r="K37" s="57">
        <f>VLOOKUP(A37,本周期销售数据表!$A2:$L200,10,FALSE)</f>
        <v>417.3</v>
      </c>
      <c r="L37" s="57">
        <f>VLOOKUP(A37,本周期销售数据表!$A2:$L200,7,FALSE)</f>
        <v>5</v>
      </c>
      <c r="AC37" s="81">
        <f t="shared" si="7"/>
        <v>95</v>
      </c>
      <c r="AD37" s="81">
        <f t="shared" si="8"/>
        <v>55</v>
      </c>
    </row>
    <row r="38" hidden="1" spans="1:30">
      <c r="A38" s="59">
        <v>12267</v>
      </c>
      <c r="B38" s="64" t="s">
        <v>57</v>
      </c>
      <c r="C38" s="83" t="s">
        <v>63</v>
      </c>
      <c r="D38" s="57" t="s">
        <v>29</v>
      </c>
      <c r="F38" s="57">
        <v>2</v>
      </c>
      <c r="G38" s="57">
        <f>VLOOKUP(A38,运维频率!A2:B299,2,FALSE)</f>
        <v>2</v>
      </c>
      <c r="H38" s="57">
        <f>VLOOKUP(A38,上周期销售数据表!$A2:$O200,15,FALSE)</f>
        <v>30</v>
      </c>
      <c r="I38" s="57">
        <f>VLOOKUP(A38,本周期销售数据表!$A2:$O200,15,FALSE)</f>
        <v>34</v>
      </c>
      <c r="J38" s="71">
        <f t="shared" si="6"/>
        <v>0.133333333333333</v>
      </c>
      <c r="K38" s="57">
        <f>VLOOKUP(A38,本周期销售数据表!$A2:$L200,10,FALSE)</f>
        <v>514.6</v>
      </c>
      <c r="L38" s="57">
        <f>VLOOKUP(A38,本周期销售数据表!$A2:$L200,7,FALSE)</f>
        <v>6</v>
      </c>
      <c r="AC38" s="81">
        <f t="shared" si="7"/>
        <v>50</v>
      </c>
      <c r="AD38" s="81">
        <f t="shared" si="8"/>
        <v>10</v>
      </c>
    </row>
    <row r="39" hidden="1" spans="1:30">
      <c r="A39" s="59">
        <v>18871</v>
      </c>
      <c r="B39" s="64" t="s">
        <v>57</v>
      </c>
      <c r="C39" s="83" t="s">
        <v>64</v>
      </c>
      <c r="D39" s="57" t="s">
        <v>29</v>
      </c>
      <c r="F39" s="57">
        <v>2</v>
      </c>
      <c r="G39" s="57">
        <f>VLOOKUP(A39,运维频率!A2:B299,2,FALSE)</f>
        <v>2</v>
      </c>
      <c r="H39" s="57">
        <f>VLOOKUP(A39,上周期销售数据表!$A2:$O200,15,FALSE)</f>
        <v>168</v>
      </c>
      <c r="I39" s="57">
        <f>VLOOKUP(A39,本周期销售数据表!$A2:$O200,15,FALSE)</f>
        <v>49</v>
      </c>
      <c r="J39" s="71">
        <f t="shared" si="6"/>
        <v>-0.708333333333333</v>
      </c>
      <c r="K39" s="57">
        <f>VLOOKUP(A39,本周期销售数据表!$A2:$L200,10,FALSE)</f>
        <v>757.4</v>
      </c>
      <c r="L39" s="57">
        <f>VLOOKUP(A39,本周期销售数据表!$A2:$L200,7,FALSE)</f>
        <v>1</v>
      </c>
      <c r="AC39" s="81">
        <f t="shared" si="7"/>
        <v>188</v>
      </c>
      <c r="AD39" s="81">
        <f t="shared" si="8"/>
        <v>148</v>
      </c>
    </row>
    <row r="40" hidden="1" spans="1:30">
      <c r="A40" s="59">
        <v>22219</v>
      </c>
      <c r="B40" s="64" t="s">
        <v>57</v>
      </c>
      <c r="C40" s="83" t="s">
        <v>65</v>
      </c>
      <c r="D40" s="57" t="s">
        <v>29</v>
      </c>
      <c r="F40" s="57">
        <v>2</v>
      </c>
      <c r="G40" s="57">
        <f>VLOOKUP(A40,运维频率!A2:B299,2,FALSE)</f>
        <v>2</v>
      </c>
      <c r="H40" s="57">
        <f>VLOOKUP(A40,上周期销售数据表!$A2:$O200,15,FALSE)</f>
        <v>40</v>
      </c>
      <c r="I40" s="57">
        <f>VLOOKUP(A40,本周期销售数据表!$A2:$O200,15,FALSE)</f>
        <v>40</v>
      </c>
      <c r="J40" s="71">
        <f t="shared" si="6"/>
        <v>0</v>
      </c>
      <c r="K40" s="57">
        <f>VLOOKUP(A40,本周期销售数据表!$A2:$L200,10,FALSE)</f>
        <v>596.3</v>
      </c>
      <c r="L40" s="57">
        <f>VLOOKUP(A40,本周期销售数据表!$A2:$L200,7,FALSE)</f>
        <v>0</v>
      </c>
      <c r="AC40" s="81">
        <f t="shared" si="7"/>
        <v>60</v>
      </c>
      <c r="AD40" s="81">
        <f t="shared" si="8"/>
        <v>20</v>
      </c>
    </row>
    <row r="41" hidden="1" spans="1:30">
      <c r="A41" s="59">
        <v>20905</v>
      </c>
      <c r="B41" s="64" t="s">
        <v>57</v>
      </c>
      <c r="C41" s="83" t="s">
        <v>66</v>
      </c>
      <c r="D41" s="57" t="s">
        <v>29</v>
      </c>
      <c r="F41" s="57">
        <v>1</v>
      </c>
      <c r="G41" s="57">
        <f>VLOOKUP(A41,运维频率!A2:B299,2,FALSE)</f>
        <v>2</v>
      </c>
      <c r="H41" s="57">
        <f>VLOOKUP(A41,上周期销售数据表!$A2:$O200,15,FALSE)</f>
        <v>48</v>
      </c>
      <c r="I41" s="57">
        <f>VLOOKUP(A41,本周期销售数据表!$A2:$O200,15,FALSE)</f>
        <v>15</v>
      </c>
      <c r="J41" s="71">
        <f t="shared" si="6"/>
        <v>-0.6875</v>
      </c>
      <c r="K41" s="57">
        <f>VLOOKUP(A41,本周期销售数据表!$A2:$L200,10,FALSE)</f>
        <v>205.8</v>
      </c>
      <c r="L41" s="57">
        <f>VLOOKUP(A41,本周期销售数据表!$A2:$L200,7,FALSE)</f>
        <v>1</v>
      </c>
      <c r="AC41" s="81">
        <f t="shared" si="7"/>
        <v>68</v>
      </c>
      <c r="AD41" s="81">
        <f t="shared" si="8"/>
        <v>28</v>
      </c>
    </row>
    <row r="42" hidden="1" spans="1:30">
      <c r="A42" s="59">
        <v>30012</v>
      </c>
      <c r="B42" s="64" t="s">
        <v>57</v>
      </c>
      <c r="C42" s="83" t="s">
        <v>67</v>
      </c>
      <c r="D42" s="57" t="s">
        <v>29</v>
      </c>
      <c r="F42" s="57">
        <v>1</v>
      </c>
      <c r="G42" s="57">
        <f>VLOOKUP(A42,运维频率!A2:B299,2,FALSE)</f>
        <v>1</v>
      </c>
      <c r="H42" s="57">
        <f>VLOOKUP(A42,上周期销售数据表!$A2:$O200,15,FALSE)</f>
        <v>14</v>
      </c>
      <c r="I42" s="57">
        <f>VLOOKUP(A42,本周期销售数据表!$A2:$O200,15,FALSE)</f>
        <v>11</v>
      </c>
      <c r="J42" s="71">
        <f t="shared" si="6"/>
        <v>-0.214285714285714</v>
      </c>
      <c r="K42" s="57">
        <f>VLOOKUP(A42,本周期销售数据表!$A2:$L200,10,FALSE)</f>
        <v>155.1</v>
      </c>
      <c r="L42" s="57">
        <f>VLOOKUP(A42,本周期销售数据表!$A2:$L200,7,FALSE)</f>
        <v>1</v>
      </c>
      <c r="AC42" s="81">
        <f t="shared" si="7"/>
        <v>34</v>
      </c>
      <c r="AD42" s="81">
        <f t="shared" si="8"/>
        <v>-6</v>
      </c>
    </row>
    <row r="43" hidden="1" spans="1:30">
      <c r="A43" s="59">
        <v>26986</v>
      </c>
      <c r="B43" s="64" t="s">
        <v>57</v>
      </c>
      <c r="C43" s="83" t="s">
        <v>68</v>
      </c>
      <c r="D43" s="57" t="s">
        <v>29</v>
      </c>
      <c r="F43" s="57">
        <v>2</v>
      </c>
      <c r="G43" s="57">
        <f>VLOOKUP(A43,运维频率!A2:B299,2,FALSE)</f>
        <v>2</v>
      </c>
      <c r="H43" s="57">
        <f>VLOOKUP(A43,上周期销售数据表!$A2:$O200,15,FALSE)</f>
        <v>85</v>
      </c>
      <c r="I43" s="57">
        <f>VLOOKUP(A43,本周期销售数据表!$A2:$O200,15,FALSE)</f>
        <v>32</v>
      </c>
      <c r="J43" s="71">
        <f t="shared" si="6"/>
        <v>-0.623529411764706</v>
      </c>
      <c r="K43" s="57">
        <f>VLOOKUP(A43,本周期销售数据表!$A2:$L200,10,FALSE)</f>
        <v>460.5</v>
      </c>
      <c r="L43" s="57">
        <f>VLOOKUP(A43,本周期销售数据表!$A2:$L200,7,FALSE)</f>
        <v>0</v>
      </c>
      <c r="AC43" s="81">
        <f t="shared" si="7"/>
        <v>105</v>
      </c>
      <c r="AD43" s="81">
        <f t="shared" si="8"/>
        <v>65</v>
      </c>
    </row>
    <row r="44" hidden="1" spans="1:30">
      <c r="A44" s="59">
        <v>22176</v>
      </c>
      <c r="B44" s="64" t="s">
        <v>57</v>
      </c>
      <c r="C44" s="83" t="s">
        <v>69</v>
      </c>
      <c r="D44" s="57" t="s">
        <v>29</v>
      </c>
      <c r="F44" s="57">
        <v>1</v>
      </c>
      <c r="G44" s="57">
        <f>VLOOKUP(A44,运维频率!A2:B299,2,FALSE)</f>
        <v>2</v>
      </c>
      <c r="H44" s="57">
        <f>VLOOKUP(A44,上周期销售数据表!$A2:$O200,15,FALSE)</f>
        <v>29</v>
      </c>
      <c r="I44" s="57">
        <f>VLOOKUP(A44,本周期销售数据表!$A2:$O200,15,FALSE)</f>
        <v>27</v>
      </c>
      <c r="J44" s="71">
        <f t="shared" si="6"/>
        <v>-0.0689655172413793</v>
      </c>
      <c r="K44" s="57">
        <f>VLOOKUP(A44,本周期销售数据表!$A2:$L200,10,FALSE)</f>
        <v>375.1</v>
      </c>
      <c r="L44" s="57">
        <f>VLOOKUP(A44,本周期销售数据表!$A2:$L200,7,FALSE)</f>
        <v>0</v>
      </c>
      <c r="AC44" s="81">
        <f t="shared" si="7"/>
        <v>49</v>
      </c>
      <c r="AD44" s="81">
        <f t="shared" si="8"/>
        <v>9</v>
      </c>
    </row>
    <row r="45" hidden="1" spans="1:30">
      <c r="A45" s="59">
        <v>22247</v>
      </c>
      <c r="B45" s="64" t="s">
        <v>57</v>
      </c>
      <c r="C45" s="83" t="s">
        <v>70</v>
      </c>
      <c r="D45" s="57" t="s">
        <v>29</v>
      </c>
      <c r="F45" s="57">
        <v>0</v>
      </c>
      <c r="G45" s="57">
        <f>VLOOKUP(A45,运维频率!A2:B299,2,FALSE)</f>
        <v>1</v>
      </c>
      <c r="H45" s="57">
        <f>VLOOKUP(A45,上周期销售数据表!$A2:$O200,15,FALSE)</f>
        <v>106</v>
      </c>
      <c r="I45" s="57">
        <f>VLOOKUP(A45,本周期销售数据表!$A2:$O200,15,FALSE)</f>
        <v>25</v>
      </c>
      <c r="J45" s="71">
        <f t="shared" si="6"/>
        <v>-0.764150943396226</v>
      </c>
      <c r="K45" s="57">
        <f>VLOOKUP(A45,本周期销售数据表!$A2:$L200,10,FALSE)</f>
        <v>348.5</v>
      </c>
      <c r="L45" s="57">
        <f>VLOOKUP(A45,本周期销售数据表!$A2:$L200,7,FALSE)</f>
        <v>1</v>
      </c>
      <c r="AC45" s="81">
        <f t="shared" si="7"/>
        <v>126</v>
      </c>
      <c r="AD45" s="81">
        <f t="shared" si="8"/>
        <v>86</v>
      </c>
    </row>
    <row r="46" hidden="1" spans="1:30">
      <c r="A46" s="59">
        <v>36601</v>
      </c>
      <c r="B46" s="64" t="s">
        <v>57</v>
      </c>
      <c r="C46" s="83" t="s">
        <v>71</v>
      </c>
      <c r="D46" s="57" t="s">
        <v>29</v>
      </c>
      <c r="F46" s="57">
        <v>0</v>
      </c>
      <c r="G46" s="57">
        <f>VLOOKUP(A46,运维频率!A2:B299,2,FALSE)</f>
        <v>1</v>
      </c>
      <c r="H46" s="57">
        <f>VLOOKUP(A46,上周期销售数据表!$A2:$O200,15,FALSE)</f>
        <v>17</v>
      </c>
      <c r="I46" s="57">
        <f>VLOOKUP(A46,本周期销售数据表!$A2:$O200,15,FALSE)</f>
        <v>22</v>
      </c>
      <c r="J46" s="71">
        <f t="shared" si="6"/>
        <v>0.294117647058824</v>
      </c>
      <c r="K46" s="57">
        <f>VLOOKUP(A46,本周期销售数据表!$A2:$L200,10,FALSE)</f>
        <v>320</v>
      </c>
      <c r="L46" s="57">
        <f>VLOOKUP(A46,本周期销售数据表!$A2:$L200,7,FALSE)</f>
        <v>1</v>
      </c>
      <c r="AC46" s="81">
        <f t="shared" si="7"/>
        <v>37</v>
      </c>
      <c r="AD46" s="81">
        <f t="shared" si="8"/>
        <v>-3</v>
      </c>
    </row>
    <row r="47" hidden="1" spans="1:30">
      <c r="A47" s="59">
        <v>26990</v>
      </c>
      <c r="B47" s="64" t="s">
        <v>57</v>
      </c>
      <c r="C47" s="63" t="s">
        <v>72</v>
      </c>
      <c r="D47" s="57" t="s">
        <v>29</v>
      </c>
      <c r="F47" s="57">
        <v>2</v>
      </c>
      <c r="G47" s="57">
        <f>VLOOKUP(A47,运维频率!A2:B299,2,FALSE)</f>
        <v>2</v>
      </c>
      <c r="H47" s="57">
        <f>VLOOKUP(A47,上周期销售数据表!$A2:$O200,15,FALSE)</f>
        <v>54</v>
      </c>
      <c r="I47" s="57">
        <f>VLOOKUP(A47,本周期销售数据表!$A2:$O200,15,FALSE)</f>
        <v>38</v>
      </c>
      <c r="J47" s="71">
        <f t="shared" si="6"/>
        <v>-0.296296296296296</v>
      </c>
      <c r="K47" s="57">
        <f>VLOOKUP(A47,本周期销售数据表!$A2:$L200,10,FALSE)</f>
        <v>515.4</v>
      </c>
      <c r="L47" s="57">
        <f>VLOOKUP(A47,本周期销售数据表!$A2:$L200,7,FALSE)</f>
        <v>0</v>
      </c>
      <c r="AC47" s="81">
        <f t="shared" si="7"/>
        <v>74</v>
      </c>
      <c r="AD47" s="81">
        <f t="shared" si="8"/>
        <v>34</v>
      </c>
    </row>
    <row r="48" hidden="1" spans="1:30">
      <c r="A48" s="59">
        <v>33279</v>
      </c>
      <c r="B48" s="64" t="s">
        <v>57</v>
      </c>
      <c r="C48" s="63" t="s">
        <v>73</v>
      </c>
      <c r="D48" s="57" t="s">
        <v>29</v>
      </c>
      <c r="F48" s="57">
        <v>2</v>
      </c>
      <c r="G48" s="57">
        <f>VLOOKUP(A48,运维频率!A2:B299,2,FALSE)</f>
        <v>3</v>
      </c>
      <c r="H48" s="57">
        <f>VLOOKUP(A48,上周期销售数据表!$A2:$O200,15,FALSE)</f>
        <v>38</v>
      </c>
      <c r="I48" s="57">
        <f>VLOOKUP(A48,本周期销售数据表!$A2:$O200,15,FALSE)</f>
        <v>30</v>
      </c>
      <c r="J48" s="71">
        <f t="shared" si="6"/>
        <v>-0.210526315789474</v>
      </c>
      <c r="K48" s="57">
        <f>VLOOKUP(A48,本周期销售数据表!$A2:$L200,10,FALSE)</f>
        <v>429.4</v>
      </c>
      <c r="L48" s="57">
        <f>VLOOKUP(A48,本周期销售数据表!$A2:$L200,7,FALSE)</f>
        <v>7</v>
      </c>
      <c r="AC48" s="81">
        <f t="shared" si="7"/>
        <v>58</v>
      </c>
      <c r="AD48" s="81">
        <f t="shared" si="8"/>
        <v>18</v>
      </c>
    </row>
    <row r="49" s="54" customFormat="1" hidden="1" spans="1:30">
      <c r="A49" s="66">
        <v>29353</v>
      </c>
      <c r="B49" s="67" t="s">
        <v>57</v>
      </c>
      <c r="C49" s="68" t="s">
        <v>74</v>
      </c>
      <c r="D49" s="67" t="s">
        <v>29</v>
      </c>
      <c r="F49" s="67">
        <v>0</v>
      </c>
      <c r="G49" s="67">
        <f>VLOOKUP(A49,运维频率!A2:B299,2,FALSE)</f>
        <v>0</v>
      </c>
      <c r="H49" s="67" t="e">
        <f>VLOOKUP(A49,上周期销售数据表!$A2:$O200,15,FALSE)</f>
        <v>#N/A</v>
      </c>
      <c r="I49" s="67" t="e">
        <f>VLOOKUP(A49,本周期销售数据表!$A2:$O200,15,FALSE)</f>
        <v>#N/A</v>
      </c>
      <c r="J49" s="77" t="e">
        <f t="shared" si="6"/>
        <v>#N/A</v>
      </c>
      <c r="K49" s="67" t="e">
        <f>VLOOKUP(A49,本周期销售数据表!$A2:$L200,10,FALSE)</f>
        <v>#N/A</v>
      </c>
      <c r="L49" s="67" t="e">
        <f>VLOOKUP(A49,本周期销售数据表!$A2:$L200,7,FALSE)</f>
        <v>#N/A</v>
      </c>
      <c r="O49" s="86"/>
      <c r="AC49" s="82" t="e">
        <f t="shared" si="7"/>
        <v>#N/A</v>
      </c>
      <c r="AD49" s="82" t="e">
        <f t="shared" si="8"/>
        <v>#N/A</v>
      </c>
    </row>
    <row r="50" s="54" customFormat="1" hidden="1" spans="1:30">
      <c r="A50" s="66">
        <v>29359</v>
      </c>
      <c r="B50" s="67" t="s">
        <v>57</v>
      </c>
      <c r="C50" s="68" t="s">
        <v>75</v>
      </c>
      <c r="D50" s="67" t="s">
        <v>29</v>
      </c>
      <c r="F50" s="67">
        <v>0</v>
      </c>
      <c r="G50" s="67">
        <f>VLOOKUP(A50,运维频率!A2:B299,2,FALSE)</f>
        <v>0</v>
      </c>
      <c r="H50" s="67" t="e">
        <f>VLOOKUP(A50,上周期销售数据表!$A2:$O200,15,FALSE)</f>
        <v>#N/A</v>
      </c>
      <c r="I50" s="67" t="e">
        <f>VLOOKUP(A50,本周期销售数据表!$A2:$O200,15,FALSE)</f>
        <v>#N/A</v>
      </c>
      <c r="J50" s="77" t="e">
        <f t="shared" si="6"/>
        <v>#N/A</v>
      </c>
      <c r="K50" s="67" t="e">
        <f>VLOOKUP(A50,本周期销售数据表!$A2:$L200,10,FALSE)</f>
        <v>#N/A</v>
      </c>
      <c r="L50" s="67" t="e">
        <f>VLOOKUP(A50,本周期销售数据表!$A2:$L200,7,FALSE)</f>
        <v>#N/A</v>
      </c>
      <c r="O50" s="86"/>
      <c r="AC50" s="82" t="e">
        <f t="shared" si="7"/>
        <v>#N/A</v>
      </c>
      <c r="AD50" s="82" t="e">
        <f t="shared" si="8"/>
        <v>#N/A</v>
      </c>
    </row>
    <row r="51" hidden="1" spans="1:30">
      <c r="A51" s="59">
        <v>29354</v>
      </c>
      <c r="B51" s="64" t="s">
        <v>57</v>
      </c>
      <c r="C51" s="83" t="s">
        <v>76</v>
      </c>
      <c r="D51" s="57" t="s">
        <v>29</v>
      </c>
      <c r="F51" s="57">
        <v>2</v>
      </c>
      <c r="G51" s="57">
        <f>VLOOKUP(A51,运维频率!A2:B299,2,FALSE)</f>
        <v>2</v>
      </c>
      <c r="H51" s="57">
        <f>VLOOKUP(A51,上周期销售数据表!$A2:$O200,15,FALSE)</f>
        <v>40</v>
      </c>
      <c r="I51" s="57">
        <f>VLOOKUP(A51,本周期销售数据表!$A2:$O200,15,FALSE)</f>
        <v>20</v>
      </c>
      <c r="J51" s="71">
        <f t="shared" si="6"/>
        <v>-0.5</v>
      </c>
      <c r="K51" s="57">
        <f>VLOOKUP(A51,本周期销售数据表!$A2:$L200,10,FALSE)</f>
        <v>281.4</v>
      </c>
      <c r="L51" s="57">
        <f>VLOOKUP(A51,本周期销售数据表!$A2:$L200,7,FALSE)</f>
        <v>3</v>
      </c>
      <c r="AC51" s="81">
        <f t="shared" si="7"/>
        <v>60</v>
      </c>
      <c r="AD51" s="81">
        <f t="shared" si="8"/>
        <v>20</v>
      </c>
    </row>
    <row r="52" hidden="1" spans="1:30">
      <c r="A52" s="59">
        <v>29355</v>
      </c>
      <c r="B52" s="64" t="s">
        <v>57</v>
      </c>
      <c r="C52" s="83" t="s">
        <v>77</v>
      </c>
      <c r="D52" s="57" t="s">
        <v>29</v>
      </c>
      <c r="F52" s="57">
        <v>2</v>
      </c>
      <c r="G52" s="57">
        <f>VLOOKUP(A52,运维频率!A2:B299,2,FALSE)</f>
        <v>2</v>
      </c>
      <c r="H52" s="57">
        <f>VLOOKUP(A52,上周期销售数据表!$A2:$O200,15,FALSE)</f>
        <v>22</v>
      </c>
      <c r="I52" s="57">
        <f>VLOOKUP(A52,本周期销售数据表!$A2:$O200,15,FALSE)</f>
        <v>35</v>
      </c>
      <c r="J52" s="71">
        <f t="shared" si="6"/>
        <v>0.590909090909091</v>
      </c>
      <c r="K52" s="57">
        <f>VLOOKUP(A52,本周期销售数据表!$A2:$L200,10,FALSE)</f>
        <v>503</v>
      </c>
      <c r="L52" s="57">
        <f>VLOOKUP(A52,本周期销售数据表!$A2:$L200,7,FALSE)</f>
        <v>5</v>
      </c>
      <c r="AC52" s="81">
        <f t="shared" si="7"/>
        <v>42</v>
      </c>
      <c r="AD52" s="81">
        <f t="shared" si="8"/>
        <v>2</v>
      </c>
    </row>
    <row r="53" hidden="1" spans="1:30">
      <c r="A53" s="59">
        <v>33422</v>
      </c>
      <c r="B53" s="64" t="s">
        <v>57</v>
      </c>
      <c r="C53" s="83" t="s">
        <v>78</v>
      </c>
      <c r="D53" s="57" t="s">
        <v>29</v>
      </c>
      <c r="F53" s="57">
        <v>2</v>
      </c>
      <c r="G53" s="57">
        <f>VLOOKUP(A53,运维频率!A2:B299,2,FALSE)</f>
        <v>2</v>
      </c>
      <c r="H53" s="57">
        <f>VLOOKUP(A53,上周期销售数据表!$A2:$O200,15,FALSE)</f>
        <v>23</v>
      </c>
      <c r="I53" s="57">
        <f>VLOOKUP(A53,本周期销售数据表!$A2:$O200,15,FALSE)</f>
        <v>22</v>
      </c>
      <c r="J53" s="71">
        <f t="shared" si="6"/>
        <v>-0.0434782608695652</v>
      </c>
      <c r="K53" s="57">
        <f>VLOOKUP(A53,本周期销售数据表!$A2:$L200,10,FALSE)</f>
        <v>326.3</v>
      </c>
      <c r="L53" s="57">
        <f>VLOOKUP(A53,本周期销售数据表!$A2:$L200,7,FALSE)</f>
        <v>6</v>
      </c>
      <c r="AC53" s="81">
        <f t="shared" si="7"/>
        <v>43</v>
      </c>
      <c r="AD53" s="81">
        <f t="shared" si="8"/>
        <v>3</v>
      </c>
    </row>
    <row r="54" hidden="1" spans="1:30">
      <c r="A54" s="59">
        <v>33420</v>
      </c>
      <c r="B54" s="64" t="s">
        <v>57</v>
      </c>
      <c r="C54" s="83" t="s">
        <v>79</v>
      </c>
      <c r="D54" s="57" t="s">
        <v>29</v>
      </c>
      <c r="F54" s="57">
        <v>1</v>
      </c>
      <c r="G54" s="57">
        <f>VLOOKUP(A54,运维频率!A2:B299,2,FALSE)</f>
        <v>2</v>
      </c>
      <c r="H54" s="57">
        <f>VLOOKUP(A54,上周期销售数据表!$A2:$O200,15,FALSE)</f>
        <v>67</v>
      </c>
      <c r="I54" s="57">
        <f>VLOOKUP(A54,本周期销售数据表!$A2:$O200,15,FALSE)</f>
        <v>35</v>
      </c>
      <c r="J54" s="71">
        <f t="shared" si="6"/>
        <v>-0.477611940298507</v>
      </c>
      <c r="K54" s="57">
        <f>VLOOKUP(A54,本周期销售数据表!$A2:$L200,10,FALSE)</f>
        <v>483.7</v>
      </c>
      <c r="L54" s="57">
        <f>VLOOKUP(A54,本周期销售数据表!$A2:$L200,7,FALSE)</f>
        <v>6</v>
      </c>
      <c r="AC54" s="81">
        <f t="shared" si="7"/>
        <v>87</v>
      </c>
      <c r="AD54" s="81">
        <f t="shared" si="8"/>
        <v>47</v>
      </c>
    </row>
    <row r="55" s="54" customFormat="1" hidden="1" spans="1:30">
      <c r="A55" s="66">
        <v>33429</v>
      </c>
      <c r="B55" s="67" t="s">
        <v>57</v>
      </c>
      <c r="C55" s="68" t="s">
        <v>80</v>
      </c>
      <c r="D55" s="67" t="s">
        <v>29</v>
      </c>
      <c r="F55" s="67">
        <v>0</v>
      </c>
      <c r="G55" s="67">
        <f>VLOOKUP(A55,运维频率!A2:B299,2,FALSE)</f>
        <v>0</v>
      </c>
      <c r="H55" s="67" t="e">
        <f>VLOOKUP(A55,上周期销售数据表!$A2:$O200,15,FALSE)</f>
        <v>#N/A</v>
      </c>
      <c r="I55" s="67" t="e">
        <f>VLOOKUP(A55,本周期销售数据表!$A2:$O200,15,FALSE)</f>
        <v>#N/A</v>
      </c>
      <c r="J55" s="77" t="e">
        <f t="shared" si="6"/>
        <v>#N/A</v>
      </c>
      <c r="K55" s="67" t="e">
        <f>VLOOKUP(A55,本周期销售数据表!$A2:$L200,10,FALSE)</f>
        <v>#N/A</v>
      </c>
      <c r="L55" s="67" t="e">
        <f>VLOOKUP(A55,本周期销售数据表!$A2:$L200,7,FALSE)</f>
        <v>#N/A</v>
      </c>
      <c r="O55" s="86"/>
      <c r="AC55" s="82" t="e">
        <f t="shared" si="7"/>
        <v>#N/A</v>
      </c>
      <c r="AD55" s="82" t="e">
        <f t="shared" si="8"/>
        <v>#N/A</v>
      </c>
    </row>
    <row r="56" s="54" customFormat="1" hidden="1" spans="1:30">
      <c r="A56" s="66">
        <v>33421</v>
      </c>
      <c r="B56" s="67" t="s">
        <v>57</v>
      </c>
      <c r="C56" s="68" t="s">
        <v>81</v>
      </c>
      <c r="D56" s="67" t="s">
        <v>29</v>
      </c>
      <c r="F56" s="67">
        <v>0</v>
      </c>
      <c r="G56" s="67">
        <f>VLOOKUP(A56,运维频率!A2:B299,2,FALSE)</f>
        <v>0</v>
      </c>
      <c r="H56" s="67" t="e">
        <f>VLOOKUP(A56,上周期销售数据表!$A2:$O200,15,FALSE)</f>
        <v>#N/A</v>
      </c>
      <c r="I56" s="67" t="e">
        <f>VLOOKUP(A56,本周期销售数据表!$A2:$O200,15,FALSE)</f>
        <v>#N/A</v>
      </c>
      <c r="J56" s="77" t="e">
        <f t="shared" si="6"/>
        <v>#N/A</v>
      </c>
      <c r="K56" s="67" t="e">
        <f>VLOOKUP(A56,本周期销售数据表!$A2:$L200,10,FALSE)</f>
        <v>#N/A</v>
      </c>
      <c r="L56" s="67" t="e">
        <f>VLOOKUP(A56,本周期销售数据表!$A2:$L200,7,FALSE)</f>
        <v>#N/A</v>
      </c>
      <c r="O56" s="86"/>
      <c r="AC56" s="82" t="e">
        <f t="shared" si="7"/>
        <v>#N/A</v>
      </c>
      <c r="AD56" s="82" t="e">
        <f t="shared" si="8"/>
        <v>#N/A</v>
      </c>
    </row>
    <row r="57" hidden="1" spans="1:30">
      <c r="A57" s="59">
        <v>33428</v>
      </c>
      <c r="B57" s="64" t="s">
        <v>57</v>
      </c>
      <c r="C57" s="83" t="s">
        <v>82</v>
      </c>
      <c r="D57" s="57" t="s">
        <v>29</v>
      </c>
      <c r="F57" s="57">
        <v>1</v>
      </c>
      <c r="G57" s="57">
        <f>VLOOKUP(A57,运维频率!A2:B299,2,FALSE)</f>
        <v>2</v>
      </c>
      <c r="H57" s="57">
        <f>VLOOKUP(A57,上周期销售数据表!$A2:$O200,15,FALSE)</f>
        <v>31</v>
      </c>
      <c r="I57" s="57">
        <f>VLOOKUP(A57,本周期销售数据表!$A2:$O200,15,FALSE)</f>
        <v>14</v>
      </c>
      <c r="J57" s="71">
        <f t="shared" si="6"/>
        <v>-0.548387096774194</v>
      </c>
      <c r="K57" s="57">
        <f>VLOOKUP(A57,本周期销售数据表!$A2:$L200,10,FALSE)</f>
        <v>213.2</v>
      </c>
      <c r="L57" s="57">
        <f>VLOOKUP(A57,本周期销售数据表!$A2:$L200,7,FALSE)</f>
        <v>6</v>
      </c>
      <c r="AC57" s="81">
        <f t="shared" si="7"/>
        <v>51</v>
      </c>
      <c r="AD57" s="81">
        <f t="shared" si="8"/>
        <v>11</v>
      </c>
    </row>
    <row r="58" hidden="1" spans="1:30">
      <c r="A58" s="59">
        <v>33423</v>
      </c>
      <c r="B58" s="64" t="s">
        <v>57</v>
      </c>
      <c r="C58" s="83" t="s">
        <v>83</v>
      </c>
      <c r="D58" s="57" t="s">
        <v>29</v>
      </c>
      <c r="F58" s="57">
        <v>1</v>
      </c>
      <c r="G58" s="57">
        <f>VLOOKUP(A58,运维频率!A2:B299,2,FALSE)</f>
        <v>2</v>
      </c>
      <c r="H58" s="57">
        <f>VLOOKUP(A58,上周期销售数据表!$A2:$O200,15,FALSE)</f>
        <v>6</v>
      </c>
      <c r="I58" s="57">
        <f>VLOOKUP(A58,本周期销售数据表!$A2:$O200,15,FALSE)</f>
        <v>14</v>
      </c>
      <c r="J58" s="71">
        <f t="shared" si="6"/>
        <v>1.33333333333333</v>
      </c>
      <c r="K58" s="57">
        <f>VLOOKUP(A58,本周期销售数据表!$A2:$L200,10,FALSE)</f>
        <v>210.8</v>
      </c>
      <c r="L58" s="57">
        <f>VLOOKUP(A58,本周期销售数据表!$A2:$L200,7,FALSE)</f>
        <v>2</v>
      </c>
      <c r="AC58" s="81">
        <f t="shared" si="7"/>
        <v>26</v>
      </c>
      <c r="AD58" s="81">
        <f t="shared" si="8"/>
        <v>-14</v>
      </c>
    </row>
    <row r="59" hidden="1" spans="1:30">
      <c r="A59" s="59">
        <v>33427</v>
      </c>
      <c r="B59" s="64" t="s">
        <v>57</v>
      </c>
      <c r="C59" s="83" t="s">
        <v>84</v>
      </c>
      <c r="D59" s="57" t="s">
        <v>29</v>
      </c>
      <c r="F59" s="57">
        <v>2</v>
      </c>
      <c r="G59" s="57">
        <f>VLOOKUP(A59,运维频率!A2:B299,2,FALSE)</f>
        <v>2</v>
      </c>
      <c r="H59" s="57">
        <f>VLOOKUP(A59,上周期销售数据表!$A2:$O200,15,FALSE)</f>
        <v>73</v>
      </c>
      <c r="I59" s="57">
        <f>VLOOKUP(A59,本周期销售数据表!$A2:$O200,15,FALSE)</f>
        <v>31</v>
      </c>
      <c r="J59" s="71">
        <f t="shared" si="6"/>
        <v>-0.575342465753425</v>
      </c>
      <c r="K59" s="57">
        <f>VLOOKUP(A59,本周期销售数据表!$A2:$L200,10,FALSE)</f>
        <v>451.7</v>
      </c>
      <c r="L59" s="57">
        <f>VLOOKUP(A59,本周期销售数据表!$A2:$L200,7,FALSE)</f>
        <v>2</v>
      </c>
      <c r="AC59" s="81">
        <f t="shared" si="7"/>
        <v>93</v>
      </c>
      <c r="AD59" s="81">
        <f t="shared" si="8"/>
        <v>53</v>
      </c>
    </row>
    <row r="60" hidden="1" spans="1:30">
      <c r="A60" s="59">
        <v>33424</v>
      </c>
      <c r="B60" s="64" t="s">
        <v>57</v>
      </c>
      <c r="C60" s="83" t="s">
        <v>85</v>
      </c>
      <c r="D60" s="57" t="s">
        <v>29</v>
      </c>
      <c r="F60" s="57">
        <v>2</v>
      </c>
      <c r="G60" s="57">
        <f>VLOOKUP(A60,运维频率!A2:B299,2,FALSE)</f>
        <v>2</v>
      </c>
      <c r="H60" s="57">
        <f>VLOOKUP(A60,上周期销售数据表!$A2:$O200,15,FALSE)</f>
        <v>34</v>
      </c>
      <c r="I60" s="57">
        <f>VLOOKUP(A60,本周期销售数据表!$A2:$O200,15,FALSE)</f>
        <v>22</v>
      </c>
      <c r="J60" s="71">
        <f t="shared" si="6"/>
        <v>-0.352941176470588</v>
      </c>
      <c r="K60" s="57">
        <f>VLOOKUP(A60,本周期销售数据表!$A2:$L200,10,FALSE)</f>
        <v>285.9</v>
      </c>
      <c r="L60" s="57">
        <f>VLOOKUP(A60,本周期销售数据表!$A2:$L200,7,FALSE)</f>
        <v>3</v>
      </c>
      <c r="AC60" s="81">
        <f t="shared" si="7"/>
        <v>54</v>
      </c>
      <c r="AD60" s="81">
        <f t="shared" si="8"/>
        <v>14</v>
      </c>
    </row>
    <row r="61" hidden="1" spans="1:30">
      <c r="A61" s="59">
        <v>33513</v>
      </c>
      <c r="B61" s="64" t="s">
        <v>57</v>
      </c>
      <c r="C61" s="83" t="s">
        <v>86</v>
      </c>
      <c r="D61" s="57" t="s">
        <v>29</v>
      </c>
      <c r="F61" s="57">
        <v>2</v>
      </c>
      <c r="G61" s="57">
        <f>VLOOKUP(A61,运维频率!A2:B299,2,FALSE)</f>
        <v>2</v>
      </c>
      <c r="H61" s="57">
        <f>VLOOKUP(A61,上周期销售数据表!$A2:$O200,15,FALSE)</f>
        <v>68</v>
      </c>
      <c r="I61" s="57">
        <f>VLOOKUP(A61,本周期销售数据表!$A2:$O200,15,FALSE)</f>
        <v>96</v>
      </c>
      <c r="J61" s="71">
        <f t="shared" si="6"/>
        <v>0.411764705882353</v>
      </c>
      <c r="K61" s="57">
        <f>VLOOKUP(A61,本周期销售数据表!$A2:$L200,10,FALSE)</f>
        <v>1387</v>
      </c>
      <c r="L61" s="57">
        <f>VLOOKUP(A61,本周期销售数据表!$A2:$L200,7,FALSE)</f>
        <v>0</v>
      </c>
      <c r="AC61" s="81">
        <f t="shared" si="7"/>
        <v>88</v>
      </c>
      <c r="AD61" s="81">
        <f t="shared" si="8"/>
        <v>48</v>
      </c>
    </row>
    <row r="62" s="54" customFormat="1" hidden="1" spans="1:30">
      <c r="A62" s="66">
        <v>33678</v>
      </c>
      <c r="B62" s="67" t="s">
        <v>57</v>
      </c>
      <c r="C62" s="68" t="s">
        <v>87</v>
      </c>
      <c r="D62" s="67" t="s">
        <v>29</v>
      </c>
      <c r="F62" s="67">
        <v>0</v>
      </c>
      <c r="G62" s="67">
        <f>VLOOKUP(A62,运维频率!A2:B299,2,FALSE)</f>
        <v>0</v>
      </c>
      <c r="H62" s="67" t="e">
        <f>VLOOKUP(A62,上周期销售数据表!$A2:$O200,15,FALSE)</f>
        <v>#N/A</v>
      </c>
      <c r="I62" s="67" t="e">
        <f>VLOOKUP(A62,本周期销售数据表!$A2:$O200,15,FALSE)</f>
        <v>#N/A</v>
      </c>
      <c r="J62" s="77" t="e">
        <f t="shared" si="6"/>
        <v>#N/A</v>
      </c>
      <c r="K62" s="67" t="e">
        <f>VLOOKUP(A62,本周期销售数据表!$A2:$L200,10,FALSE)</f>
        <v>#N/A</v>
      </c>
      <c r="L62" s="67" t="e">
        <f>VLOOKUP(A62,本周期销售数据表!$A2:$L200,7,FALSE)</f>
        <v>#N/A</v>
      </c>
      <c r="O62" s="86"/>
      <c r="AC62" s="82" t="e">
        <f t="shared" si="7"/>
        <v>#N/A</v>
      </c>
      <c r="AD62" s="82" t="e">
        <f t="shared" si="8"/>
        <v>#N/A</v>
      </c>
    </row>
    <row r="63" s="54" customFormat="1" hidden="1" spans="1:30">
      <c r="A63" s="66">
        <v>33676</v>
      </c>
      <c r="B63" s="67" t="s">
        <v>57</v>
      </c>
      <c r="C63" s="68" t="s">
        <v>88</v>
      </c>
      <c r="D63" s="67" t="s">
        <v>29</v>
      </c>
      <c r="F63" s="67">
        <v>0</v>
      </c>
      <c r="G63" s="67">
        <f>VLOOKUP(A63,运维频率!A2:B299,2,FALSE)</f>
        <v>0</v>
      </c>
      <c r="H63" s="67" t="e">
        <f>VLOOKUP(A63,上周期销售数据表!$A2:$O200,15,FALSE)</f>
        <v>#N/A</v>
      </c>
      <c r="I63" s="67" t="e">
        <f>VLOOKUP(A63,本周期销售数据表!$A2:$O200,15,FALSE)</f>
        <v>#N/A</v>
      </c>
      <c r="J63" s="77" t="e">
        <f t="shared" si="6"/>
        <v>#N/A</v>
      </c>
      <c r="K63" s="67" t="e">
        <f>VLOOKUP(A63,本周期销售数据表!$A2:$L200,10,FALSE)</f>
        <v>#N/A</v>
      </c>
      <c r="L63" s="67" t="e">
        <f>VLOOKUP(A63,本周期销售数据表!$A2:$L200,7,FALSE)</f>
        <v>#N/A</v>
      </c>
      <c r="O63" s="86"/>
      <c r="AC63" s="82" t="e">
        <f t="shared" si="7"/>
        <v>#N/A</v>
      </c>
      <c r="AD63" s="82" t="e">
        <f t="shared" si="8"/>
        <v>#N/A</v>
      </c>
    </row>
    <row r="64" hidden="1" spans="1:30">
      <c r="A64" s="59">
        <v>52339</v>
      </c>
      <c r="B64" s="64" t="s">
        <v>57</v>
      </c>
      <c r="C64" s="83" t="s">
        <v>89</v>
      </c>
      <c r="D64" s="57" t="s">
        <v>29</v>
      </c>
      <c r="F64" s="57">
        <v>2</v>
      </c>
      <c r="G64" s="57">
        <f>VLOOKUP(A64,运维频率!A2:B299,2,FALSE)</f>
        <v>1</v>
      </c>
      <c r="H64" s="57">
        <f>VLOOKUP(A64,上周期销售数据表!$A2:$O200,15,FALSE)</f>
        <v>61</v>
      </c>
      <c r="I64" s="57">
        <f>VLOOKUP(A64,本周期销售数据表!$A2:$O200,15,FALSE)</f>
        <v>35</v>
      </c>
      <c r="J64" s="71">
        <f t="shared" si="6"/>
        <v>-0.426229508196721</v>
      </c>
      <c r="K64" s="57">
        <f>VLOOKUP(A64,本周期销售数据表!$A2:$L200,10,FALSE)</f>
        <v>526</v>
      </c>
      <c r="L64" s="57">
        <f>VLOOKUP(A64,本周期销售数据表!$A2:$L200,7,FALSE)</f>
        <v>0</v>
      </c>
      <c r="AC64" s="81">
        <f t="shared" si="7"/>
        <v>81</v>
      </c>
      <c r="AD64" s="81">
        <f t="shared" si="8"/>
        <v>41</v>
      </c>
    </row>
    <row r="65" hidden="1" spans="1:30">
      <c r="A65" s="59">
        <v>52938</v>
      </c>
      <c r="B65" s="64" t="s">
        <v>57</v>
      </c>
      <c r="C65" s="83" t="s">
        <v>90</v>
      </c>
      <c r="D65" s="57" t="s">
        <v>29</v>
      </c>
      <c r="F65" s="57">
        <v>1</v>
      </c>
      <c r="G65" s="57">
        <f>VLOOKUP(A65,运维频率!A2:B299,2,FALSE)</f>
        <v>1</v>
      </c>
      <c r="H65" s="57">
        <f>VLOOKUP(A65,上周期销售数据表!$A2:$O200,15,FALSE)</f>
        <v>49</v>
      </c>
      <c r="I65" s="57">
        <f>VLOOKUP(A65,本周期销售数据表!$A2:$O200,15,FALSE)</f>
        <v>42</v>
      </c>
      <c r="J65" s="71">
        <f t="shared" si="6"/>
        <v>-0.142857142857143</v>
      </c>
      <c r="K65" s="57">
        <f>VLOOKUP(A65,本周期销售数据表!$A2:$L200,10,FALSE)</f>
        <v>617</v>
      </c>
      <c r="L65" s="57">
        <f>VLOOKUP(A65,本周期销售数据表!$A2:$L200,7,FALSE)</f>
        <v>3</v>
      </c>
      <c r="AC65" s="81">
        <f t="shared" si="7"/>
        <v>69</v>
      </c>
      <c r="AD65" s="81">
        <f t="shared" si="8"/>
        <v>29</v>
      </c>
    </row>
    <row r="66" s="54" customFormat="1" hidden="1" spans="1:30">
      <c r="A66" s="66">
        <v>18856</v>
      </c>
      <c r="B66" s="67" t="s">
        <v>91</v>
      </c>
      <c r="C66" s="68" t="s">
        <v>92</v>
      </c>
      <c r="D66" s="67" t="s">
        <v>36</v>
      </c>
      <c r="F66" s="67">
        <v>0</v>
      </c>
      <c r="G66" s="67">
        <f>VLOOKUP(A66,运维频率!A2:B299,2,FALSE)</f>
        <v>0</v>
      </c>
      <c r="H66" s="67" t="e">
        <f>VLOOKUP(A66,上周期销售数据表!$A2:$O200,15,FALSE)</f>
        <v>#N/A</v>
      </c>
      <c r="I66" s="67" t="e">
        <f>VLOOKUP(A66,本周期销售数据表!$A2:$O200,15,FALSE)</f>
        <v>#N/A</v>
      </c>
      <c r="J66" s="77" t="e">
        <f t="shared" si="6"/>
        <v>#N/A</v>
      </c>
      <c r="K66" s="67" t="e">
        <f>VLOOKUP(A66,本周期销售数据表!$A2:$L200,10,FALSE)</f>
        <v>#N/A</v>
      </c>
      <c r="L66" s="67" t="e">
        <f>VLOOKUP(A66,本周期销售数据表!$A2:$L200,7,FALSE)</f>
        <v>#N/A</v>
      </c>
      <c r="O66" s="86"/>
      <c r="AC66" s="82" t="e">
        <f t="shared" si="7"/>
        <v>#N/A</v>
      </c>
      <c r="AD66" s="82" t="e">
        <f t="shared" si="8"/>
        <v>#N/A</v>
      </c>
    </row>
    <row r="67" hidden="1" spans="1:30">
      <c r="A67" s="59">
        <v>20915</v>
      </c>
      <c r="B67" s="64" t="s">
        <v>91</v>
      </c>
      <c r="C67" s="83" t="s">
        <v>93</v>
      </c>
      <c r="D67" s="57" t="s">
        <v>36</v>
      </c>
      <c r="F67" s="57">
        <v>1</v>
      </c>
      <c r="G67" s="57">
        <f>VLOOKUP(A67,运维频率!A2:B299,2,FALSE)</f>
        <v>1</v>
      </c>
      <c r="H67" s="57">
        <f>VLOOKUP(A67,上周期销售数据表!$A2:$O200,15,FALSE)</f>
        <v>12</v>
      </c>
      <c r="I67" s="57">
        <f>VLOOKUP(A67,本周期销售数据表!$A2:$O200,15,FALSE)</f>
        <v>13</v>
      </c>
      <c r="J67" s="71">
        <f t="shared" si="6"/>
        <v>0.0833333333333333</v>
      </c>
      <c r="K67" s="57">
        <f>VLOOKUP(A67,本周期销售数据表!$A2:$L200,10,FALSE)</f>
        <v>204.4</v>
      </c>
      <c r="L67" s="57">
        <f>VLOOKUP(A67,本周期销售数据表!$A2:$L200,7,FALSE)</f>
        <v>1</v>
      </c>
      <c r="AC67" s="81">
        <f t="shared" si="7"/>
        <v>32</v>
      </c>
      <c r="AD67" s="81">
        <f t="shared" si="8"/>
        <v>-8</v>
      </c>
    </row>
    <row r="68" hidden="1" spans="1:30">
      <c r="A68" s="59">
        <v>33690</v>
      </c>
      <c r="B68" s="64" t="s">
        <v>91</v>
      </c>
      <c r="C68" s="83" t="s">
        <v>94</v>
      </c>
      <c r="D68" s="57" t="s">
        <v>36</v>
      </c>
      <c r="F68" s="57">
        <v>0</v>
      </c>
      <c r="G68" s="57">
        <f>VLOOKUP(A68,运维频率!A2:B299,2,FALSE)</f>
        <v>0</v>
      </c>
      <c r="H68" s="57">
        <f>VLOOKUP(A68,上周期销售数据表!$A2:$O200,15,FALSE)</f>
        <v>14</v>
      </c>
      <c r="I68" s="57">
        <f>VLOOKUP(A68,本周期销售数据表!$A2:$O200,15,FALSE)</f>
        <v>19</v>
      </c>
      <c r="J68" s="71">
        <f t="shared" si="6"/>
        <v>0.357142857142857</v>
      </c>
      <c r="K68" s="57">
        <f>VLOOKUP(A68,本周期销售数据表!$A2:$L200,10,FALSE)</f>
        <v>295.8</v>
      </c>
      <c r="L68" s="57">
        <f>VLOOKUP(A68,本周期销售数据表!$A2:$L200,7,FALSE)</f>
        <v>0</v>
      </c>
      <c r="AC68" s="81">
        <f t="shared" si="7"/>
        <v>34</v>
      </c>
      <c r="AD68" s="81">
        <f t="shared" si="8"/>
        <v>-6</v>
      </c>
    </row>
    <row r="69" hidden="1" spans="1:30">
      <c r="A69" s="59">
        <v>33527</v>
      </c>
      <c r="B69" s="64" t="s">
        <v>91</v>
      </c>
      <c r="C69" s="83" t="s">
        <v>95</v>
      </c>
      <c r="D69" s="57" t="s">
        <v>36</v>
      </c>
      <c r="F69" s="57">
        <v>0</v>
      </c>
      <c r="G69" s="57">
        <f>VLOOKUP(A69,运维频率!A2:B299,2,FALSE)</f>
        <v>0</v>
      </c>
      <c r="H69" s="57">
        <f>VLOOKUP(A69,上周期销售数据表!$A2:$O200,15,FALSE)</f>
        <v>28</v>
      </c>
      <c r="I69" s="57">
        <f>VLOOKUP(A69,本周期销售数据表!$A2:$O200,15,FALSE)</f>
        <v>12</v>
      </c>
      <c r="J69" s="71">
        <f t="shared" si="6"/>
        <v>-0.571428571428571</v>
      </c>
      <c r="K69" s="57">
        <f>VLOOKUP(A69,本周期销售数据表!$A2:$L200,10,FALSE)</f>
        <v>185.6</v>
      </c>
      <c r="L69" s="57">
        <f>VLOOKUP(A69,本周期销售数据表!$A2:$L200,7,FALSE)</f>
        <v>0</v>
      </c>
      <c r="AC69" s="81">
        <f t="shared" si="7"/>
        <v>48</v>
      </c>
      <c r="AD69" s="81">
        <f t="shared" si="8"/>
        <v>8</v>
      </c>
    </row>
    <row r="70" hidden="1" spans="1:30">
      <c r="A70" s="59">
        <v>33686</v>
      </c>
      <c r="B70" s="64" t="s">
        <v>91</v>
      </c>
      <c r="C70" s="83" t="s">
        <v>96</v>
      </c>
      <c r="D70" s="57" t="s">
        <v>36</v>
      </c>
      <c r="F70" s="57">
        <v>0</v>
      </c>
      <c r="G70" s="57">
        <f>VLOOKUP(A70,运维频率!A2:B299,2,FALSE)</f>
        <v>0</v>
      </c>
      <c r="H70" s="57">
        <f>VLOOKUP(A70,上周期销售数据表!$A2:$O200,15,FALSE)</f>
        <v>33</v>
      </c>
      <c r="I70" s="57" t="e">
        <f>VLOOKUP(A70,本周期销售数据表!$A2:$O200,15,FALSE)</f>
        <v>#N/A</v>
      </c>
      <c r="J70" s="71" t="e">
        <f t="shared" si="6"/>
        <v>#N/A</v>
      </c>
      <c r="K70" s="57" t="e">
        <f>VLOOKUP(A70,本周期销售数据表!$A2:$L200,10,FALSE)</f>
        <v>#N/A</v>
      </c>
      <c r="L70" s="57" t="e">
        <f>VLOOKUP(A70,本周期销售数据表!$A2:$L200,7,FALSE)</f>
        <v>#N/A</v>
      </c>
      <c r="AC70" s="81">
        <f t="shared" si="7"/>
        <v>53</v>
      </c>
      <c r="AD70" s="81">
        <f t="shared" si="8"/>
        <v>13</v>
      </c>
    </row>
    <row r="71" hidden="1" spans="1:30">
      <c r="A71" s="59">
        <v>33529</v>
      </c>
      <c r="B71" s="64" t="s">
        <v>91</v>
      </c>
      <c r="C71" s="83" t="s">
        <v>97</v>
      </c>
      <c r="D71" s="57" t="s">
        <v>36</v>
      </c>
      <c r="F71" s="57">
        <v>0</v>
      </c>
      <c r="G71" s="57">
        <f>VLOOKUP(A71,运维频率!A2:B299,2,FALSE)</f>
        <v>0</v>
      </c>
      <c r="H71" s="57">
        <f>VLOOKUP(A71,上周期销售数据表!$A2:$O200,15,FALSE)</f>
        <v>82</v>
      </c>
      <c r="I71" s="57">
        <f>VLOOKUP(A71,本周期销售数据表!$A2:$O200,15,FALSE)</f>
        <v>24</v>
      </c>
      <c r="J71" s="71">
        <f t="shared" si="6"/>
        <v>-0.707317073170732</v>
      </c>
      <c r="K71" s="57">
        <f>VLOOKUP(A71,本周期销售数据表!$A2:$L200,10,FALSE)</f>
        <v>360.3</v>
      </c>
      <c r="L71" s="57">
        <f>VLOOKUP(A71,本周期销售数据表!$A2:$L200,7,FALSE)</f>
        <v>0</v>
      </c>
      <c r="AC71" s="81">
        <f t="shared" si="7"/>
        <v>102</v>
      </c>
      <c r="AD71" s="81">
        <f t="shared" si="8"/>
        <v>62</v>
      </c>
    </row>
    <row r="72" hidden="1" spans="1:30">
      <c r="A72" s="61">
        <v>33674</v>
      </c>
      <c r="B72" s="57" t="s">
        <v>91</v>
      </c>
      <c r="C72" s="62" t="s">
        <v>98</v>
      </c>
      <c r="D72" s="57" t="s">
        <v>36</v>
      </c>
      <c r="F72" s="57">
        <v>1</v>
      </c>
      <c r="G72" s="57">
        <f>VLOOKUP(A72,运维频率!A2:B299,2,FALSE)</f>
        <v>2</v>
      </c>
      <c r="H72" s="57">
        <f>VLOOKUP(A72,上周期销售数据表!$A2:$O200,15,FALSE)</f>
        <v>35</v>
      </c>
      <c r="I72" s="57">
        <f>VLOOKUP(A72,本周期销售数据表!$A2:$O200,15,FALSE)</f>
        <v>20</v>
      </c>
      <c r="J72" s="71">
        <f t="shared" si="6"/>
        <v>-0.428571428571429</v>
      </c>
      <c r="K72" s="57">
        <f>VLOOKUP(A72,本周期销售数据表!$A2:$L200,10,FALSE)</f>
        <v>310</v>
      </c>
      <c r="L72" s="57">
        <f>VLOOKUP(A72,本周期销售数据表!$A2:$L200,7,FALSE)</f>
        <v>0</v>
      </c>
      <c r="AC72" s="81">
        <f t="shared" si="7"/>
        <v>55</v>
      </c>
      <c r="AD72" s="81">
        <f t="shared" si="8"/>
        <v>15</v>
      </c>
    </row>
    <row r="73" hidden="1" spans="1:30">
      <c r="A73" s="61">
        <v>33680</v>
      </c>
      <c r="B73" s="57" t="s">
        <v>91</v>
      </c>
      <c r="C73" s="62" t="s">
        <v>99</v>
      </c>
      <c r="D73" s="57" t="s">
        <v>36</v>
      </c>
      <c r="F73" s="57">
        <v>1</v>
      </c>
      <c r="G73" s="57">
        <f>VLOOKUP(A73,运维频率!A2:B299,2,FALSE)</f>
        <v>2</v>
      </c>
      <c r="H73" s="57">
        <f>VLOOKUP(A73,上周期销售数据表!$A2:$O200,15,FALSE)</f>
        <v>20</v>
      </c>
      <c r="I73" s="57">
        <f>VLOOKUP(A73,本周期销售数据表!$A2:$O200,15,FALSE)</f>
        <v>26</v>
      </c>
      <c r="J73" s="71">
        <f t="shared" si="6"/>
        <v>0.3</v>
      </c>
      <c r="K73" s="57">
        <f>VLOOKUP(A73,本周期销售数据表!$A2:$L200,10,FALSE)</f>
        <v>409.4</v>
      </c>
      <c r="L73" s="57">
        <f>VLOOKUP(A73,本周期销售数据表!$A2:$L200,7,FALSE)</f>
        <v>0</v>
      </c>
      <c r="AC73" s="81">
        <f t="shared" si="7"/>
        <v>40</v>
      </c>
      <c r="AD73" s="81">
        <f t="shared" si="8"/>
        <v>0</v>
      </c>
    </row>
    <row r="74" hidden="1" spans="1:30">
      <c r="A74" s="61">
        <v>33682</v>
      </c>
      <c r="B74" s="57" t="s">
        <v>91</v>
      </c>
      <c r="C74" s="62" t="s">
        <v>100</v>
      </c>
      <c r="D74" s="57" t="s">
        <v>36</v>
      </c>
      <c r="F74" s="57">
        <v>3</v>
      </c>
      <c r="G74" s="57">
        <f>VLOOKUP(A74,运维频率!A2:B299,2,FALSE)</f>
        <v>2</v>
      </c>
      <c r="H74" s="57">
        <f>VLOOKUP(A74,上周期销售数据表!$A2:$O200,15,FALSE)</f>
        <v>15</v>
      </c>
      <c r="I74" s="57">
        <f>VLOOKUP(A74,本周期销售数据表!$A2:$O200,15,FALSE)</f>
        <v>19</v>
      </c>
      <c r="J74" s="71">
        <f t="shared" si="6"/>
        <v>0.266666666666667</v>
      </c>
      <c r="K74" s="57">
        <f>VLOOKUP(A74,本周期销售数据表!$A2:$L200,10,FALSE)</f>
        <v>284.8</v>
      </c>
      <c r="L74" s="57">
        <f>VLOOKUP(A74,本周期销售数据表!$A2:$L200,7,FALSE)</f>
        <v>0</v>
      </c>
      <c r="AC74" s="81">
        <f t="shared" si="7"/>
        <v>35</v>
      </c>
      <c r="AD74" s="81">
        <f t="shared" si="8"/>
        <v>-5</v>
      </c>
    </row>
    <row r="75" hidden="1" spans="1:30">
      <c r="A75" s="61">
        <v>52942</v>
      </c>
      <c r="B75" s="57" t="s">
        <v>91</v>
      </c>
      <c r="C75" s="62" t="s">
        <v>101</v>
      </c>
      <c r="D75" s="57" t="s">
        <v>36</v>
      </c>
      <c r="F75" s="57">
        <v>2</v>
      </c>
      <c r="G75" s="57">
        <f>VLOOKUP(A75,运维频率!A2:B299,2,FALSE)</f>
        <v>2</v>
      </c>
      <c r="H75" s="57">
        <f>VLOOKUP(A75,上周期销售数据表!$A2:$O200,15,FALSE)</f>
        <v>10</v>
      </c>
      <c r="I75" s="57">
        <f>VLOOKUP(A75,本周期销售数据表!$A2:$O200,15,FALSE)</f>
        <v>8</v>
      </c>
      <c r="J75" s="71">
        <f t="shared" ref="J75:J102" si="9">(I75-H75)/H75*100%</f>
        <v>-0.2</v>
      </c>
      <c r="K75" s="57">
        <f>VLOOKUP(A75,本周期销售数据表!$A2:$L200,10,FALSE)</f>
        <v>131.5</v>
      </c>
      <c r="L75" s="57">
        <f>VLOOKUP(A75,本周期销售数据表!$A2:$L200,7,FALSE)</f>
        <v>0</v>
      </c>
      <c r="AC75" s="81">
        <f t="shared" ref="AC75:AC102" si="10">H75+20</f>
        <v>30</v>
      </c>
      <c r="AD75" s="81">
        <f t="shared" ref="AD75:AD102" si="11">H75-20</f>
        <v>-10</v>
      </c>
    </row>
    <row r="76" hidden="1" spans="1:30">
      <c r="A76" s="61">
        <v>52941</v>
      </c>
      <c r="B76" s="57" t="s">
        <v>91</v>
      </c>
      <c r="C76" s="85" t="s">
        <v>102</v>
      </c>
      <c r="D76" s="57" t="s">
        <v>36</v>
      </c>
      <c r="F76" s="57">
        <v>2</v>
      </c>
      <c r="G76" s="57">
        <f>VLOOKUP(A76,运维频率!A2:B299,2,FALSE)</f>
        <v>2</v>
      </c>
      <c r="H76" s="57">
        <f>VLOOKUP(A76,上周期销售数据表!$A2:$O200,15,FALSE)</f>
        <v>35</v>
      </c>
      <c r="I76" s="57">
        <f>VLOOKUP(A76,本周期销售数据表!$A2:$O200,15,FALSE)</f>
        <v>9</v>
      </c>
      <c r="J76" s="71">
        <f t="shared" si="9"/>
        <v>-0.742857142857143</v>
      </c>
      <c r="K76" s="57">
        <f>VLOOKUP(A76,本周期销售数据表!$A2:$L200,10,FALSE)</f>
        <v>146.2</v>
      </c>
      <c r="L76" s="57">
        <f>VLOOKUP(A76,本周期销售数据表!$A2:$L200,7,FALSE)</f>
        <v>0</v>
      </c>
      <c r="AC76" s="81">
        <f t="shared" si="10"/>
        <v>55</v>
      </c>
      <c r="AD76" s="81">
        <f t="shared" si="11"/>
        <v>15</v>
      </c>
    </row>
    <row r="77" hidden="1" spans="1:30">
      <c r="A77" s="61">
        <v>52943</v>
      </c>
      <c r="B77" s="57" t="s">
        <v>91</v>
      </c>
      <c r="C77" s="85" t="s">
        <v>103</v>
      </c>
      <c r="D77" s="57" t="s">
        <v>36</v>
      </c>
      <c r="F77" s="57">
        <v>2</v>
      </c>
      <c r="G77" s="57">
        <f>VLOOKUP(A77,运维频率!A2:B299,2,FALSE)</f>
        <v>2</v>
      </c>
      <c r="H77" s="57">
        <f>VLOOKUP(A77,上周期销售数据表!$A2:$O200,15,FALSE)</f>
        <v>23</v>
      </c>
      <c r="I77" s="57">
        <f>VLOOKUP(A77,本周期销售数据表!$A2:$O200,15,FALSE)</f>
        <v>9</v>
      </c>
      <c r="J77" s="71">
        <f t="shared" si="9"/>
        <v>-0.608695652173913</v>
      </c>
      <c r="K77" s="57">
        <f>VLOOKUP(A77,本周期销售数据表!$A2:$L200,10,FALSE)</f>
        <v>144.3</v>
      </c>
      <c r="L77" s="57">
        <f>VLOOKUP(A77,本周期销售数据表!$A2:$L200,7,FALSE)</f>
        <v>1</v>
      </c>
      <c r="AC77" s="81">
        <f t="shared" si="10"/>
        <v>43</v>
      </c>
      <c r="AD77" s="81">
        <f t="shared" si="11"/>
        <v>3</v>
      </c>
    </row>
    <row r="78" hidden="1" spans="1:30">
      <c r="A78" s="61">
        <v>52944</v>
      </c>
      <c r="B78" s="57" t="s">
        <v>91</v>
      </c>
      <c r="C78" s="85" t="s">
        <v>104</v>
      </c>
      <c r="D78" s="57" t="s">
        <v>36</v>
      </c>
      <c r="F78" s="57">
        <v>2</v>
      </c>
      <c r="G78" s="57">
        <f>VLOOKUP(A78,运维频率!A2:B299,2,FALSE)</f>
        <v>2</v>
      </c>
      <c r="H78" s="57">
        <f>VLOOKUP(A78,上周期销售数据表!$A2:$O200,15,FALSE)</f>
        <v>80</v>
      </c>
      <c r="I78" s="57">
        <f>VLOOKUP(A78,本周期销售数据表!$A2:$O200,15,FALSE)</f>
        <v>37</v>
      </c>
      <c r="J78" s="71">
        <f t="shared" si="9"/>
        <v>-0.5375</v>
      </c>
      <c r="K78" s="57">
        <f>VLOOKUP(A78,本周期销售数据表!$A2:$L200,10,FALSE)</f>
        <v>529</v>
      </c>
      <c r="L78" s="57">
        <f>VLOOKUP(A78,本周期销售数据表!$A2:$L200,7,FALSE)</f>
        <v>1</v>
      </c>
      <c r="AC78" s="81">
        <f t="shared" si="10"/>
        <v>100</v>
      </c>
      <c r="AD78" s="81">
        <f t="shared" si="11"/>
        <v>60</v>
      </c>
    </row>
    <row r="79" hidden="1" spans="1:30">
      <c r="A79" s="61">
        <v>33413</v>
      </c>
      <c r="B79" s="57" t="s">
        <v>105</v>
      </c>
      <c r="C79" s="85" t="s">
        <v>106</v>
      </c>
      <c r="D79" s="57" t="s">
        <v>36</v>
      </c>
      <c r="F79" s="57">
        <v>2</v>
      </c>
      <c r="G79" s="57">
        <f>VLOOKUP(A79,运维频率!A2:B299,2,FALSE)</f>
        <v>2</v>
      </c>
      <c r="H79" s="57">
        <f>VLOOKUP(A79,上周期销售数据表!$A2:$O200,15,FALSE)</f>
        <v>87</v>
      </c>
      <c r="I79" s="57">
        <f>VLOOKUP(A79,本周期销售数据表!$A2:$O200,15,FALSE)</f>
        <v>19</v>
      </c>
      <c r="J79" s="71">
        <f t="shared" si="9"/>
        <v>-0.781609195402299</v>
      </c>
      <c r="K79" s="57">
        <f>VLOOKUP(A79,本周期销售数据表!$A2:$L200,10,FALSE)</f>
        <v>286.4</v>
      </c>
      <c r="L79" s="57">
        <f>VLOOKUP(A79,本周期销售数据表!$A2:$L200,7,FALSE)</f>
        <v>0</v>
      </c>
      <c r="AC79" s="81">
        <f t="shared" si="10"/>
        <v>107</v>
      </c>
      <c r="AD79" s="81">
        <f t="shared" si="11"/>
        <v>67</v>
      </c>
    </row>
    <row r="80" hidden="1" spans="1:30">
      <c r="A80" s="61">
        <v>18857</v>
      </c>
      <c r="B80" s="57" t="s">
        <v>105</v>
      </c>
      <c r="C80" s="62" t="s">
        <v>107</v>
      </c>
      <c r="D80" s="57" t="s">
        <v>36</v>
      </c>
      <c r="F80" s="57">
        <v>2</v>
      </c>
      <c r="G80" s="57">
        <f>VLOOKUP(A80,运维频率!A2:B299,2,FALSE)</f>
        <v>2</v>
      </c>
      <c r="H80" s="57">
        <f>VLOOKUP(A80,上周期销售数据表!$A2:$O200,15,FALSE)</f>
        <v>6</v>
      </c>
      <c r="I80" s="57">
        <f>VLOOKUP(A80,本周期销售数据表!$A2:$O200,15,FALSE)</f>
        <v>1</v>
      </c>
      <c r="J80" s="71">
        <f t="shared" si="9"/>
        <v>-0.833333333333333</v>
      </c>
      <c r="K80" s="57">
        <f>VLOOKUP(A80,本周期销售数据表!$A2:$L200,10,FALSE)</f>
        <v>16.8</v>
      </c>
      <c r="L80" s="57">
        <f>VLOOKUP(A80,本周期销售数据表!$A2:$L200,7,FALSE)</f>
        <v>0</v>
      </c>
      <c r="AC80" s="81">
        <f t="shared" si="10"/>
        <v>26</v>
      </c>
      <c r="AD80" s="81">
        <f t="shared" si="11"/>
        <v>-14</v>
      </c>
    </row>
    <row r="81" hidden="1" spans="1:30">
      <c r="A81" s="61">
        <v>33418</v>
      </c>
      <c r="B81" s="57" t="s">
        <v>105</v>
      </c>
      <c r="C81" s="62" t="s">
        <v>108</v>
      </c>
      <c r="D81" s="57" t="s">
        <v>36</v>
      </c>
      <c r="F81" s="57">
        <v>2</v>
      </c>
      <c r="G81" s="57">
        <f>VLOOKUP(A81,运维频率!A2:B299,2,FALSE)</f>
        <v>2</v>
      </c>
      <c r="H81" s="57">
        <f>VLOOKUP(A81,上周期销售数据表!$A2:$O200,15,FALSE)</f>
        <v>29</v>
      </c>
      <c r="I81" s="57">
        <f>VLOOKUP(A81,本周期销售数据表!$A2:$O200,15,FALSE)</f>
        <v>14</v>
      </c>
      <c r="J81" s="71">
        <f t="shared" si="9"/>
        <v>-0.517241379310345</v>
      </c>
      <c r="K81" s="57">
        <f>VLOOKUP(A81,本周期销售数据表!$A2:$L200,10,FALSE)</f>
        <v>201.3</v>
      </c>
      <c r="L81" s="57">
        <f>VLOOKUP(A81,本周期销售数据表!$A2:$L200,7,FALSE)</f>
        <v>1</v>
      </c>
      <c r="AC81" s="81">
        <f t="shared" si="10"/>
        <v>49</v>
      </c>
      <c r="AD81" s="81">
        <f t="shared" si="11"/>
        <v>9</v>
      </c>
    </row>
    <row r="82" hidden="1" spans="1:30">
      <c r="A82" s="61">
        <v>33416</v>
      </c>
      <c r="B82" s="57" t="s">
        <v>105</v>
      </c>
      <c r="C82" s="62" t="s">
        <v>109</v>
      </c>
      <c r="D82" s="57" t="s">
        <v>36</v>
      </c>
      <c r="F82" s="57">
        <v>2</v>
      </c>
      <c r="G82" s="57">
        <f>VLOOKUP(A82,运维频率!A2:B299,2,FALSE)</f>
        <v>3</v>
      </c>
      <c r="H82" s="57">
        <f>VLOOKUP(A82,上周期销售数据表!$A2:$O200,15,FALSE)</f>
        <v>9</v>
      </c>
      <c r="I82" s="57">
        <f>VLOOKUP(A82,本周期销售数据表!$A2:$O200,15,FALSE)</f>
        <v>4</v>
      </c>
      <c r="J82" s="71">
        <f t="shared" si="9"/>
        <v>-0.555555555555556</v>
      </c>
      <c r="K82" s="57">
        <f>VLOOKUP(A82,本周期销售数据表!$A2:$L200,10,FALSE)</f>
        <v>60.2</v>
      </c>
      <c r="L82" s="57">
        <f>VLOOKUP(A82,本周期销售数据表!$A2:$L200,7,FALSE)</f>
        <v>1</v>
      </c>
      <c r="AC82" s="81">
        <f t="shared" si="10"/>
        <v>29</v>
      </c>
      <c r="AD82" s="81">
        <f t="shared" si="11"/>
        <v>-11</v>
      </c>
    </row>
    <row r="83" s="54" customFormat="1" hidden="1" spans="1:30">
      <c r="A83" s="66">
        <v>33419</v>
      </c>
      <c r="B83" s="67" t="s">
        <v>110</v>
      </c>
      <c r="C83" s="68" t="s">
        <v>111</v>
      </c>
      <c r="D83" s="67" t="s">
        <v>36</v>
      </c>
      <c r="F83" s="67">
        <v>0</v>
      </c>
      <c r="G83" s="67">
        <f>VLOOKUP(A83,运维频率!A2:B299,2,FALSE)</f>
        <v>0</v>
      </c>
      <c r="H83" s="67" t="e">
        <f>VLOOKUP(A83,上周期销售数据表!$A2:$O200,15,FALSE)</f>
        <v>#N/A</v>
      </c>
      <c r="I83" s="67" t="e">
        <f>VLOOKUP(A83,本周期销售数据表!$A2:$O200,15,FALSE)</f>
        <v>#N/A</v>
      </c>
      <c r="J83" s="77" t="e">
        <f t="shared" si="9"/>
        <v>#N/A</v>
      </c>
      <c r="K83" s="67" t="e">
        <f>VLOOKUP(A83,本周期销售数据表!$A2:$L200,10,FALSE)</f>
        <v>#N/A</v>
      </c>
      <c r="L83" s="67" t="e">
        <f>VLOOKUP(A83,本周期销售数据表!$A2:$L200,7,FALSE)</f>
        <v>#N/A</v>
      </c>
      <c r="O83" s="86"/>
      <c r="AC83" s="82" t="e">
        <f t="shared" si="10"/>
        <v>#N/A</v>
      </c>
      <c r="AD83" s="82" t="e">
        <f t="shared" si="11"/>
        <v>#N/A</v>
      </c>
    </row>
    <row r="84" s="54" customFormat="1" hidden="1" spans="1:30">
      <c r="A84" s="66">
        <v>33425</v>
      </c>
      <c r="B84" s="67" t="s">
        <v>110</v>
      </c>
      <c r="C84" s="68" t="s">
        <v>112</v>
      </c>
      <c r="D84" s="67" t="s">
        <v>36</v>
      </c>
      <c r="F84" s="67">
        <v>0</v>
      </c>
      <c r="G84" s="67">
        <f>VLOOKUP(A84,运维频率!A2:B299,2,FALSE)</f>
        <v>0</v>
      </c>
      <c r="H84" s="67" t="e">
        <f>VLOOKUP(A84,上周期销售数据表!$A2:$O200,15,FALSE)</f>
        <v>#N/A</v>
      </c>
      <c r="I84" s="67" t="e">
        <f>VLOOKUP(A84,本周期销售数据表!$A2:$O200,15,FALSE)</f>
        <v>#N/A</v>
      </c>
      <c r="J84" s="77" t="e">
        <f t="shared" si="9"/>
        <v>#N/A</v>
      </c>
      <c r="K84" s="67" t="e">
        <f>VLOOKUP(A84,本周期销售数据表!$A2:$L200,10,FALSE)</f>
        <v>#N/A</v>
      </c>
      <c r="L84" s="67" t="e">
        <f>VLOOKUP(A84,本周期销售数据表!$A2:$L200,7,FALSE)</f>
        <v>#N/A</v>
      </c>
      <c r="O84" s="86"/>
      <c r="AC84" s="82" t="e">
        <f t="shared" si="10"/>
        <v>#N/A</v>
      </c>
      <c r="AD84" s="82" t="e">
        <f t="shared" si="11"/>
        <v>#N/A</v>
      </c>
    </row>
    <row r="85" hidden="1" spans="1:30">
      <c r="A85" s="61">
        <v>33430</v>
      </c>
      <c r="B85" s="57" t="s">
        <v>105</v>
      </c>
      <c r="C85" s="62" t="s">
        <v>113</v>
      </c>
      <c r="D85" s="57" t="s">
        <v>36</v>
      </c>
      <c r="F85" s="57">
        <v>2</v>
      </c>
      <c r="G85" s="57">
        <f>VLOOKUP(A85,运维频率!A2:B299,2,FALSE)</f>
        <v>2</v>
      </c>
      <c r="H85" s="57">
        <f>VLOOKUP(A85,上周期销售数据表!$A2:$O200,15,FALSE)</f>
        <v>40</v>
      </c>
      <c r="I85" s="57">
        <f>VLOOKUP(A85,本周期销售数据表!$A2:$O200,15,FALSE)</f>
        <v>16</v>
      </c>
      <c r="J85" s="71">
        <f t="shared" si="9"/>
        <v>-0.6</v>
      </c>
      <c r="K85" s="57">
        <f>VLOOKUP(A85,本周期销售数据表!$A2:$L200,10,FALSE)</f>
        <v>223.1</v>
      </c>
      <c r="L85" s="57">
        <f>VLOOKUP(A85,本周期销售数据表!$A2:$L200,7,FALSE)</f>
        <v>1</v>
      </c>
      <c r="AC85" s="81">
        <f t="shared" si="10"/>
        <v>60</v>
      </c>
      <c r="AD85" s="81">
        <f t="shared" si="11"/>
        <v>20</v>
      </c>
    </row>
    <row r="86" hidden="1" spans="1:30">
      <c r="A86" s="61">
        <v>33512</v>
      </c>
      <c r="B86" s="57" t="s">
        <v>105</v>
      </c>
      <c r="C86" s="62" t="s">
        <v>114</v>
      </c>
      <c r="D86" s="57" t="s">
        <v>36</v>
      </c>
      <c r="F86" s="57">
        <v>2</v>
      </c>
      <c r="G86" s="57">
        <f>VLOOKUP(A86,运维频率!A2:B299,2,FALSE)</f>
        <v>2</v>
      </c>
      <c r="H86" s="57">
        <f>VLOOKUP(A86,上周期销售数据表!$A2:$O200,15,FALSE)</f>
        <v>17</v>
      </c>
      <c r="I86" s="57">
        <f>VLOOKUP(A86,本周期销售数据表!$A2:$O200,15,FALSE)</f>
        <v>15</v>
      </c>
      <c r="J86" s="71">
        <f t="shared" si="9"/>
        <v>-0.117647058823529</v>
      </c>
      <c r="K86" s="57">
        <f>VLOOKUP(A86,本周期销售数据表!$A2:$L200,10,FALSE)</f>
        <v>219.1</v>
      </c>
      <c r="L86" s="57">
        <f>VLOOKUP(A86,本周期销售数据表!$A2:$L200,7,FALSE)</f>
        <v>0</v>
      </c>
      <c r="AC86" s="81">
        <f t="shared" si="10"/>
        <v>37</v>
      </c>
      <c r="AD86" s="81">
        <f t="shared" si="11"/>
        <v>-3</v>
      </c>
    </row>
    <row r="87" hidden="1" spans="1:30">
      <c r="A87" s="61">
        <v>33511</v>
      </c>
      <c r="B87" s="57" t="s">
        <v>105</v>
      </c>
      <c r="C87" s="62" t="s">
        <v>115</v>
      </c>
      <c r="D87" s="57" t="s">
        <v>36</v>
      </c>
      <c r="F87" s="57">
        <v>1</v>
      </c>
      <c r="G87" s="57">
        <f>VLOOKUP(A87,运维频率!A2:B299,2,FALSE)</f>
        <v>2</v>
      </c>
      <c r="H87" s="57">
        <f>VLOOKUP(A87,上周期销售数据表!$A2:$O200,15,FALSE)</f>
        <v>2</v>
      </c>
      <c r="I87" s="57">
        <f>VLOOKUP(A87,本周期销售数据表!$A2:$O200,15,FALSE)</f>
        <v>20</v>
      </c>
      <c r="J87" s="71">
        <f t="shared" si="9"/>
        <v>9</v>
      </c>
      <c r="K87" s="57">
        <f>VLOOKUP(A87,本周期销售数据表!$A2:$L200,10,FALSE)</f>
        <v>285.8</v>
      </c>
      <c r="L87" s="57">
        <f>VLOOKUP(A87,本周期销售数据表!$A2:$L200,7,FALSE)</f>
        <v>1</v>
      </c>
      <c r="AC87" s="81">
        <f t="shared" si="10"/>
        <v>22</v>
      </c>
      <c r="AD87" s="81">
        <f t="shared" si="11"/>
        <v>-18</v>
      </c>
    </row>
    <row r="88" hidden="1" spans="1:30">
      <c r="A88" s="61">
        <v>33514</v>
      </c>
      <c r="B88" s="57" t="s">
        <v>105</v>
      </c>
      <c r="C88" s="62" t="s">
        <v>116</v>
      </c>
      <c r="D88" s="57" t="s">
        <v>36</v>
      </c>
      <c r="F88" s="57">
        <v>1</v>
      </c>
      <c r="G88" s="57">
        <f>VLOOKUP(A88,运维频率!A2:B299,2,FALSE)</f>
        <v>0</v>
      </c>
      <c r="H88" s="57">
        <f>VLOOKUP(A88,上周期销售数据表!$A2:$O200,15,FALSE)</f>
        <v>27</v>
      </c>
      <c r="I88" s="57">
        <f>VLOOKUP(A88,本周期销售数据表!$A2:$O200,15,FALSE)</f>
        <v>16</v>
      </c>
      <c r="J88" s="71">
        <f t="shared" si="9"/>
        <v>-0.407407407407407</v>
      </c>
      <c r="K88" s="57">
        <f>VLOOKUP(A88,本周期销售数据表!$A2:$L200,10,FALSE)</f>
        <v>233.9</v>
      </c>
      <c r="L88" s="57">
        <f>VLOOKUP(A88,本周期销售数据表!$A2:$L200,7,FALSE)</f>
        <v>4</v>
      </c>
      <c r="AC88" s="81">
        <f t="shared" si="10"/>
        <v>47</v>
      </c>
      <c r="AD88" s="81">
        <f t="shared" si="11"/>
        <v>7</v>
      </c>
    </row>
    <row r="89" hidden="1" spans="1:30">
      <c r="A89" s="61">
        <v>18878</v>
      </c>
      <c r="B89" s="57" t="s">
        <v>117</v>
      </c>
      <c r="C89" s="62" t="s">
        <v>118</v>
      </c>
      <c r="D89" s="64" t="s">
        <v>29</v>
      </c>
      <c r="F89" s="57">
        <v>1</v>
      </c>
      <c r="G89" s="57">
        <f>VLOOKUP(A89,运维频率!A2:B299,2,FALSE)</f>
        <v>2</v>
      </c>
      <c r="H89" s="57">
        <f>VLOOKUP(A89,上周期销售数据表!$A2:$O200,15,FALSE)</f>
        <v>36</v>
      </c>
      <c r="I89" s="57">
        <f>VLOOKUP(A89,本周期销售数据表!$A2:$O200,15,FALSE)</f>
        <v>17</v>
      </c>
      <c r="J89" s="71">
        <f t="shared" si="9"/>
        <v>-0.527777777777778</v>
      </c>
      <c r="K89" s="57">
        <f>VLOOKUP(A89,本周期销售数据表!$A2:$L200,10,FALSE)</f>
        <v>264.7</v>
      </c>
      <c r="L89" s="57">
        <f>VLOOKUP(A89,本周期销售数据表!$A2:$L200,7,FALSE)</f>
        <v>0</v>
      </c>
      <c r="AC89" s="81">
        <f t="shared" si="10"/>
        <v>56</v>
      </c>
      <c r="AD89" s="81">
        <f t="shared" si="11"/>
        <v>16</v>
      </c>
    </row>
    <row r="90" hidden="1" spans="1:30">
      <c r="A90" s="61">
        <v>27748</v>
      </c>
      <c r="B90" s="57" t="s">
        <v>117</v>
      </c>
      <c r="C90" s="62" t="s">
        <v>119</v>
      </c>
      <c r="D90" s="64" t="s">
        <v>29</v>
      </c>
      <c r="F90" s="57">
        <v>1</v>
      </c>
      <c r="G90" s="57">
        <f>VLOOKUP(A90,运维频率!A2:B299,2,FALSE)</f>
        <v>2</v>
      </c>
      <c r="H90" s="57">
        <f>VLOOKUP(A90,上周期销售数据表!$A2:$O200,15,FALSE)</f>
        <v>15</v>
      </c>
      <c r="I90" s="57">
        <f>VLOOKUP(A90,本周期销售数据表!$A2:$O200,15,FALSE)</f>
        <v>28</v>
      </c>
      <c r="J90" s="71">
        <f t="shared" si="9"/>
        <v>0.866666666666667</v>
      </c>
      <c r="K90" s="57">
        <f>VLOOKUP(A90,本周期销售数据表!$A2:$L200,10,FALSE)</f>
        <v>388.9</v>
      </c>
      <c r="L90" s="57">
        <f>VLOOKUP(A90,本周期销售数据表!$A2:$L200,7,FALSE)</f>
        <v>0</v>
      </c>
      <c r="AC90" s="81">
        <f t="shared" si="10"/>
        <v>35</v>
      </c>
      <c r="AD90" s="81">
        <f t="shared" si="11"/>
        <v>-5</v>
      </c>
    </row>
    <row r="91" hidden="1" spans="1:30">
      <c r="A91" s="61">
        <v>20903</v>
      </c>
      <c r="B91" s="57" t="s">
        <v>117</v>
      </c>
      <c r="C91" s="62" t="s">
        <v>120</v>
      </c>
      <c r="D91" s="57" t="s">
        <v>29</v>
      </c>
      <c r="F91" s="57">
        <v>2</v>
      </c>
      <c r="G91" s="57">
        <f>VLOOKUP(A91,运维频率!A2:B299,2,FALSE)</f>
        <v>2</v>
      </c>
      <c r="H91" s="57">
        <f>VLOOKUP(A91,上周期销售数据表!$A2:$O200,15,FALSE)</f>
        <v>75</v>
      </c>
      <c r="I91" s="57">
        <f>VLOOKUP(A91,本周期销售数据表!$A2:$O200,15,FALSE)</f>
        <v>51</v>
      </c>
      <c r="J91" s="71">
        <f t="shared" si="9"/>
        <v>-0.32</v>
      </c>
      <c r="K91" s="57">
        <f>VLOOKUP(A91,本周期销售数据表!$A2:$L200,10,FALSE)</f>
        <v>760.5</v>
      </c>
      <c r="L91" s="57">
        <f>VLOOKUP(A91,本周期销售数据表!$A2:$L200,7,FALSE)</f>
        <v>5</v>
      </c>
      <c r="AC91" s="81">
        <f t="shared" si="10"/>
        <v>95</v>
      </c>
      <c r="AD91" s="81">
        <f t="shared" si="11"/>
        <v>55</v>
      </c>
    </row>
    <row r="92" hidden="1" spans="1:30">
      <c r="A92" s="61">
        <v>22461</v>
      </c>
      <c r="B92" s="57" t="s">
        <v>117</v>
      </c>
      <c r="C92" s="62" t="s">
        <v>121</v>
      </c>
      <c r="D92" s="57" t="s">
        <v>29</v>
      </c>
      <c r="F92" s="57">
        <v>2</v>
      </c>
      <c r="G92" s="57">
        <f>VLOOKUP(A92,运维频率!A2:B299,2,FALSE)</f>
        <v>2</v>
      </c>
      <c r="H92" s="57">
        <f>VLOOKUP(A92,上周期销售数据表!$A2:$O200,15,FALSE)</f>
        <v>29</v>
      </c>
      <c r="I92" s="57">
        <f>VLOOKUP(A92,本周期销售数据表!$A2:$O200,15,FALSE)</f>
        <v>36</v>
      </c>
      <c r="J92" s="71">
        <f t="shared" si="9"/>
        <v>0.241379310344828</v>
      </c>
      <c r="K92" s="57">
        <f>VLOOKUP(A92,本周期销售数据表!$A2:$L200,10,FALSE)</f>
        <v>513.3</v>
      </c>
      <c r="L92" s="57">
        <f>VLOOKUP(A92,本周期销售数据表!$A2:$L200,7,FALSE)</f>
        <v>31</v>
      </c>
      <c r="AC92" s="81">
        <f t="shared" si="10"/>
        <v>49</v>
      </c>
      <c r="AD92" s="81">
        <f t="shared" si="11"/>
        <v>9</v>
      </c>
    </row>
    <row r="93" hidden="1" spans="1:30">
      <c r="A93" s="61">
        <v>33517</v>
      </c>
      <c r="B93" s="57" t="s">
        <v>117</v>
      </c>
      <c r="C93" s="62" t="s">
        <v>122</v>
      </c>
      <c r="D93" s="57" t="s">
        <v>29</v>
      </c>
      <c r="F93" s="57">
        <v>2</v>
      </c>
      <c r="G93" s="57">
        <f>VLOOKUP(A93,运维频率!A2:B299,2,FALSE)</f>
        <v>0</v>
      </c>
      <c r="H93" s="57">
        <f>VLOOKUP(A93,上周期销售数据表!$A2:$O200,15,FALSE)</f>
        <v>15</v>
      </c>
      <c r="I93" s="57">
        <f>VLOOKUP(A93,本周期销售数据表!$A2:$O200,15,FALSE)</f>
        <v>19</v>
      </c>
      <c r="J93" s="71">
        <f t="shared" si="9"/>
        <v>0.266666666666667</v>
      </c>
      <c r="K93" s="57">
        <f>VLOOKUP(A93,本周期销售数据表!$A2:$L200,10,FALSE)</f>
        <v>265.6</v>
      </c>
      <c r="L93" s="57">
        <f>VLOOKUP(A93,本周期销售数据表!$A2:$L200,7,FALSE)</f>
        <v>2</v>
      </c>
      <c r="AC93" s="81">
        <f t="shared" si="10"/>
        <v>35</v>
      </c>
      <c r="AD93" s="81">
        <f t="shared" si="11"/>
        <v>-5</v>
      </c>
    </row>
    <row r="94" hidden="1" spans="1:30">
      <c r="A94" s="61">
        <v>33526</v>
      </c>
      <c r="B94" s="57" t="s">
        <v>117</v>
      </c>
      <c r="C94" s="62" t="s">
        <v>123</v>
      </c>
      <c r="D94" s="57" t="s">
        <v>29</v>
      </c>
      <c r="F94" s="57">
        <v>1</v>
      </c>
      <c r="G94" s="57">
        <f>VLOOKUP(A94,运维频率!A2:B299,2,FALSE)</f>
        <v>1</v>
      </c>
      <c r="H94" s="57">
        <f>VLOOKUP(A94,上周期销售数据表!$A2:$O200,15,FALSE)</f>
        <v>25</v>
      </c>
      <c r="I94" s="57">
        <f>VLOOKUP(A94,本周期销售数据表!$A2:$O200,15,FALSE)</f>
        <v>15</v>
      </c>
      <c r="J94" s="71">
        <f t="shared" si="9"/>
        <v>-0.4</v>
      </c>
      <c r="K94" s="57">
        <f>VLOOKUP(A94,本周期销售数据表!$A2:$L200,10,FALSE)</f>
        <v>223.6</v>
      </c>
      <c r="L94" s="57">
        <f>VLOOKUP(A94,本周期销售数据表!$A2:$L200,7,FALSE)</f>
        <v>2</v>
      </c>
      <c r="AC94" s="81">
        <f t="shared" si="10"/>
        <v>45</v>
      </c>
      <c r="AD94" s="81">
        <f t="shared" si="11"/>
        <v>5</v>
      </c>
    </row>
    <row r="95" spans="1:30">
      <c r="A95" s="61">
        <v>26396</v>
      </c>
      <c r="B95" s="57" t="s">
        <v>20</v>
      </c>
      <c r="C95" s="62" t="s">
        <v>124</v>
      </c>
      <c r="D95" s="57" t="s">
        <v>22</v>
      </c>
      <c r="F95" s="57">
        <v>1</v>
      </c>
      <c r="G95" s="57">
        <f>VLOOKUP(A95,运维频率!A2:B299,2,FALSE)</f>
        <v>1</v>
      </c>
      <c r="H95" s="57">
        <f>VLOOKUP(A95,上周期销售数据表!$A2:$O200,15,FALSE)</f>
        <v>4</v>
      </c>
      <c r="I95" s="57">
        <f>VLOOKUP(A95,本周期销售数据表!$A2:$O200,15,FALSE)</f>
        <v>7</v>
      </c>
      <c r="J95" s="71">
        <f t="shared" si="9"/>
        <v>0.75</v>
      </c>
      <c r="K95" s="57">
        <f>VLOOKUP(A95,本周期销售数据表!$A2:$L200,10,FALSE)</f>
        <v>31.6</v>
      </c>
      <c r="L95" s="57">
        <f>VLOOKUP(A95,本周期销售数据表!$A2:$L200,7,FALSE)</f>
        <v>4</v>
      </c>
      <c r="AC95" s="81">
        <f t="shared" si="10"/>
        <v>24</v>
      </c>
      <c r="AD95" s="81">
        <f t="shared" si="11"/>
        <v>-16</v>
      </c>
    </row>
    <row r="96" spans="1:30">
      <c r="A96" s="61">
        <v>26394</v>
      </c>
      <c r="B96" s="57" t="s">
        <v>20</v>
      </c>
      <c r="C96" s="62" t="s">
        <v>125</v>
      </c>
      <c r="D96" s="57" t="s">
        <v>22</v>
      </c>
      <c r="F96" s="57">
        <v>2</v>
      </c>
      <c r="G96" s="57">
        <f>VLOOKUP(A96,运维频率!A2:B299,2,FALSE)</f>
        <v>2</v>
      </c>
      <c r="H96" s="57">
        <f>VLOOKUP(A96,上周期销售数据表!$A2:$O200,15,FALSE)</f>
        <v>91</v>
      </c>
      <c r="I96" s="57">
        <f>VLOOKUP(A96,本周期销售数据表!$A2:$O200,15,FALSE)</f>
        <v>81</v>
      </c>
      <c r="J96" s="71">
        <f t="shared" si="9"/>
        <v>-0.10989010989011</v>
      </c>
      <c r="K96" s="57">
        <f>VLOOKUP(A96,本周期销售数据表!$A2:$L200,10,FALSE)</f>
        <v>357.6</v>
      </c>
      <c r="L96" s="57">
        <f>VLOOKUP(A96,本周期销售数据表!$A2:$L200,7,FALSE)</f>
        <v>5</v>
      </c>
      <c r="AC96" s="81">
        <f t="shared" si="10"/>
        <v>111</v>
      </c>
      <c r="AD96" s="81">
        <f t="shared" si="11"/>
        <v>71</v>
      </c>
    </row>
    <row r="97" hidden="1" spans="1:30">
      <c r="A97" s="61">
        <v>71811</v>
      </c>
      <c r="B97" s="57" t="s">
        <v>27</v>
      </c>
      <c r="C97" s="62" t="s">
        <v>126</v>
      </c>
      <c r="D97" s="57" t="s">
        <v>29</v>
      </c>
      <c r="F97" s="57">
        <v>1</v>
      </c>
      <c r="G97" s="57">
        <f>VLOOKUP(A97,运维频率!A2:B299,2,FALSE)</f>
        <v>0</v>
      </c>
      <c r="H97" s="57">
        <f>VLOOKUP(A97,上周期销售数据表!$A2:$O200,15,FALSE)</f>
        <v>64</v>
      </c>
      <c r="I97" s="57">
        <f>VLOOKUP(A97,本周期销售数据表!$A2:$O200,15,FALSE)</f>
        <v>67</v>
      </c>
      <c r="J97" s="71">
        <f t="shared" ref="J97:J111" si="12">(I97-H97)/H97*100%</f>
        <v>0.046875</v>
      </c>
      <c r="K97" s="57">
        <f>VLOOKUP(A97,本周期销售数据表!$A2:$L200,10,FALSE)</f>
        <v>1039</v>
      </c>
      <c r="L97" s="57">
        <f>VLOOKUP(A97,本周期销售数据表!$A2:$L200,7,FALSE)</f>
        <v>0</v>
      </c>
      <c r="AC97" s="81">
        <f t="shared" ref="AC97:AC111" si="13">H97+20</f>
        <v>84</v>
      </c>
      <c r="AD97" s="81">
        <f t="shared" ref="AD97:AD111" si="14">H97-20</f>
        <v>44</v>
      </c>
    </row>
    <row r="98" hidden="1" spans="1:30">
      <c r="A98" s="61">
        <v>22340</v>
      </c>
      <c r="B98" s="57" t="s">
        <v>127</v>
      </c>
      <c r="C98" s="62" t="s">
        <v>128</v>
      </c>
      <c r="D98" s="57" t="s">
        <v>36</v>
      </c>
      <c r="F98" s="57">
        <v>1</v>
      </c>
      <c r="G98" s="57">
        <f>VLOOKUP(A98,运维频率!A2:B299,2,FALSE)</f>
        <v>0</v>
      </c>
      <c r="H98" s="57">
        <f>VLOOKUP(A98,上周期销售数据表!$A2:$O200,15,FALSE)</f>
        <v>47</v>
      </c>
      <c r="I98" s="57">
        <f>VLOOKUP(A98,本周期销售数据表!$A2:$O200,15,FALSE)</f>
        <v>35</v>
      </c>
      <c r="J98" s="71">
        <f t="shared" si="12"/>
        <v>-0.25531914893617</v>
      </c>
      <c r="K98" s="57">
        <f>VLOOKUP(A98,本周期销售数据表!$A2:$L200,10,FALSE)</f>
        <v>502.4</v>
      </c>
      <c r="L98" s="57">
        <f>VLOOKUP(A98,本周期销售数据表!$A2:$L200,7,FALSE)</f>
        <v>2</v>
      </c>
      <c r="AC98" s="81">
        <f t="shared" si="13"/>
        <v>67</v>
      </c>
      <c r="AD98" s="81">
        <f t="shared" si="14"/>
        <v>27</v>
      </c>
    </row>
    <row r="99" hidden="1" spans="1:30">
      <c r="A99" s="61">
        <v>22335</v>
      </c>
      <c r="B99" s="57" t="s">
        <v>127</v>
      </c>
      <c r="C99" s="62" t="s">
        <v>129</v>
      </c>
      <c r="D99" s="57" t="s">
        <v>36</v>
      </c>
      <c r="F99" s="57">
        <v>2</v>
      </c>
      <c r="G99" s="57">
        <f>VLOOKUP(A99,运维频率!A2:B299,2,FALSE)</f>
        <v>2</v>
      </c>
      <c r="H99" s="57">
        <f>VLOOKUP(A99,上周期销售数据表!$A2:$O200,15,FALSE)</f>
        <v>48</v>
      </c>
      <c r="I99" s="57">
        <f>VLOOKUP(A99,本周期销售数据表!$A2:$O200,15,FALSE)</f>
        <v>9</v>
      </c>
      <c r="J99" s="71">
        <f t="shared" si="12"/>
        <v>-0.8125</v>
      </c>
      <c r="K99" s="57">
        <f>VLOOKUP(A99,本周期销售数据表!$A2:$L200,10,FALSE)</f>
        <v>124.9</v>
      </c>
      <c r="L99" s="57">
        <f>VLOOKUP(A99,本周期销售数据表!$A2:$L200,7,FALSE)</f>
        <v>1</v>
      </c>
      <c r="AC99" s="81">
        <f t="shared" si="13"/>
        <v>68</v>
      </c>
      <c r="AD99" s="81">
        <f t="shared" si="14"/>
        <v>28</v>
      </c>
    </row>
    <row r="100" hidden="1" spans="1:30">
      <c r="A100" s="61">
        <v>20857</v>
      </c>
      <c r="B100" s="57" t="s">
        <v>130</v>
      </c>
      <c r="C100" s="62" t="s">
        <v>131</v>
      </c>
      <c r="D100" s="57" t="s">
        <v>36</v>
      </c>
      <c r="F100" s="57">
        <v>0</v>
      </c>
      <c r="G100" s="57">
        <f>VLOOKUP(A100,运维频率!A2:B299,2,FALSE)</f>
        <v>0</v>
      </c>
      <c r="H100" s="57">
        <f>VLOOKUP(A100,上周期销售数据表!$A2:$O200,15,FALSE)</f>
        <v>60</v>
      </c>
      <c r="I100" s="57" t="e">
        <f>VLOOKUP(A100,本周期销售数据表!$A2:$O200,15,FALSE)</f>
        <v>#N/A</v>
      </c>
      <c r="J100" s="71" t="e">
        <f t="shared" si="12"/>
        <v>#N/A</v>
      </c>
      <c r="K100" s="57" t="e">
        <f>VLOOKUP(A100,本周期销售数据表!$A2:$L200,10,FALSE)</f>
        <v>#N/A</v>
      </c>
      <c r="L100" s="57" t="e">
        <f>VLOOKUP(A100,本周期销售数据表!$A2:$L200,7,FALSE)</f>
        <v>#N/A</v>
      </c>
      <c r="AC100" s="81">
        <f t="shared" si="13"/>
        <v>80</v>
      </c>
      <c r="AD100" s="81">
        <f t="shared" si="14"/>
        <v>40</v>
      </c>
    </row>
    <row r="101" hidden="1" spans="1:30">
      <c r="A101" s="61">
        <v>20858</v>
      </c>
      <c r="B101" s="57" t="s">
        <v>130</v>
      </c>
      <c r="C101" s="62" t="s">
        <v>132</v>
      </c>
      <c r="D101" s="57" t="s">
        <v>36</v>
      </c>
      <c r="F101" s="57">
        <v>0</v>
      </c>
      <c r="G101" s="57">
        <f>VLOOKUP(A101,运维频率!A2:B299,2,FALSE)</f>
        <v>0</v>
      </c>
      <c r="H101" s="57">
        <f>VLOOKUP(A101,上周期销售数据表!$A2:$O200,15,FALSE)</f>
        <v>2</v>
      </c>
      <c r="I101" s="57">
        <f>VLOOKUP(A101,本周期销售数据表!$A2:$O200,15,FALSE)</f>
        <v>25</v>
      </c>
      <c r="J101" s="71">
        <f t="shared" si="12"/>
        <v>11.5</v>
      </c>
      <c r="K101" s="57">
        <f>VLOOKUP(A101,本周期销售数据表!$A2:$L200,10,FALSE)</f>
        <v>361.9</v>
      </c>
      <c r="L101" s="57">
        <f>VLOOKUP(A101,本周期销售数据表!$A2:$L200,7,FALSE)</f>
        <v>1</v>
      </c>
      <c r="AC101" s="81">
        <f t="shared" si="13"/>
        <v>22</v>
      </c>
      <c r="AD101" s="81">
        <f t="shared" si="14"/>
        <v>-18</v>
      </c>
    </row>
    <row r="102" hidden="1" spans="1:30">
      <c r="A102" s="61">
        <v>33692</v>
      </c>
      <c r="B102" s="57" t="s">
        <v>130</v>
      </c>
      <c r="C102" s="62" t="s">
        <v>133</v>
      </c>
      <c r="D102" s="57" t="s">
        <v>36</v>
      </c>
      <c r="F102" s="57">
        <v>0</v>
      </c>
      <c r="G102" s="57">
        <f>VLOOKUP(A102,运维频率!A2:B299,2,FALSE)</f>
        <v>0</v>
      </c>
      <c r="H102" s="57">
        <f>VLOOKUP(A102,上周期销售数据表!$A2:$O200,15,FALSE)</f>
        <v>16</v>
      </c>
      <c r="I102" s="57">
        <f>VLOOKUP(A102,本周期销售数据表!$A2:$O200,15,FALSE)</f>
        <v>1</v>
      </c>
      <c r="J102" s="71">
        <f t="shared" si="12"/>
        <v>-0.9375</v>
      </c>
      <c r="K102" s="57">
        <f>VLOOKUP(A102,本周期销售数据表!$A2:$L200,10,FALSE)</f>
        <v>16.8</v>
      </c>
      <c r="L102" s="57">
        <f>VLOOKUP(A102,本周期销售数据表!$A2:$L200,7,FALSE)</f>
        <v>0</v>
      </c>
      <c r="AC102" s="81">
        <f t="shared" si="13"/>
        <v>36</v>
      </c>
      <c r="AD102" s="81">
        <f t="shared" si="14"/>
        <v>-4</v>
      </c>
    </row>
    <row r="103" hidden="1" spans="1:30">
      <c r="A103" s="61">
        <v>33688</v>
      </c>
      <c r="B103" s="57" t="s">
        <v>130</v>
      </c>
      <c r="C103" s="62" t="s">
        <v>134</v>
      </c>
      <c r="D103" s="57" t="s">
        <v>36</v>
      </c>
      <c r="F103" s="57">
        <v>0</v>
      </c>
      <c r="G103" s="57">
        <f>VLOOKUP(A103,运维频率!A2:B299,2,FALSE)</f>
        <v>0</v>
      </c>
      <c r="H103" s="57">
        <f>VLOOKUP(A103,上周期销售数据表!$A2:$O200,15,FALSE)</f>
        <v>4</v>
      </c>
      <c r="I103" s="57">
        <f>VLOOKUP(A103,本周期销售数据表!$A2:$O200,15,FALSE)</f>
        <v>31</v>
      </c>
      <c r="J103" s="71">
        <f t="shared" si="12"/>
        <v>6.75</v>
      </c>
      <c r="K103" s="57">
        <f>VLOOKUP(A103,本周期销售数据表!$A2:$L200,10,FALSE)</f>
        <v>472</v>
      </c>
      <c r="L103" s="57">
        <f>VLOOKUP(A103,本周期销售数据表!$A2:$L200,7,FALSE)</f>
        <v>0</v>
      </c>
      <c r="AC103" s="81">
        <f t="shared" si="13"/>
        <v>24</v>
      </c>
      <c r="AD103" s="81">
        <f t="shared" si="14"/>
        <v>-16</v>
      </c>
    </row>
    <row r="104" hidden="1" spans="1:30">
      <c r="A104" s="61">
        <v>22169</v>
      </c>
      <c r="B104" s="57" t="s">
        <v>110</v>
      </c>
      <c r="C104" s="62" t="s">
        <v>135</v>
      </c>
      <c r="D104" s="57" t="s">
        <v>29</v>
      </c>
      <c r="F104" s="57">
        <v>0</v>
      </c>
      <c r="G104" s="57">
        <f>VLOOKUP(A104,运维频率!A2:B299,2,FALSE)</f>
        <v>0</v>
      </c>
      <c r="H104" s="57">
        <f>VLOOKUP(A104,上周期销售数据表!$A2:$O200,15,FALSE)</f>
        <v>49</v>
      </c>
      <c r="I104" s="57">
        <f>VLOOKUP(A104,本周期销售数据表!$A2:$O200,15,FALSE)</f>
        <v>10</v>
      </c>
      <c r="J104" s="71">
        <f t="shared" si="12"/>
        <v>-0.795918367346939</v>
      </c>
      <c r="K104" s="57">
        <f>VLOOKUP(A104,本周期销售数据表!$A2:$L200,10,FALSE)</f>
        <v>147.1</v>
      </c>
      <c r="L104" s="57">
        <f>VLOOKUP(A104,本周期销售数据表!$A2:$L200,7,FALSE)</f>
        <v>0</v>
      </c>
      <c r="AC104" s="81">
        <f t="shared" si="13"/>
        <v>69</v>
      </c>
      <c r="AD104" s="81">
        <f t="shared" si="14"/>
        <v>29</v>
      </c>
    </row>
    <row r="105" hidden="1" spans="1:30">
      <c r="A105" s="61">
        <v>22209</v>
      </c>
      <c r="B105" s="57" t="s">
        <v>110</v>
      </c>
      <c r="C105" s="62" t="s">
        <v>136</v>
      </c>
      <c r="D105" s="57" t="s">
        <v>29</v>
      </c>
      <c r="F105" s="57">
        <v>0</v>
      </c>
      <c r="G105" s="57">
        <f>VLOOKUP(A105,运维频率!A2:B299,2,FALSE)</f>
        <v>0</v>
      </c>
      <c r="H105" s="57">
        <f>VLOOKUP(A105,上周期销售数据表!$A2:$O200,15,FALSE)</f>
        <v>26</v>
      </c>
      <c r="I105" s="57">
        <f>VLOOKUP(A105,本周期销售数据表!$A2:$O200,15,FALSE)</f>
        <v>29</v>
      </c>
      <c r="J105" s="71">
        <f t="shared" si="12"/>
        <v>0.115384615384615</v>
      </c>
      <c r="K105" s="57">
        <f>VLOOKUP(A105,本周期销售数据表!$A2:$L200,10,FALSE)</f>
        <v>402.6</v>
      </c>
      <c r="L105" s="57">
        <f>VLOOKUP(A105,本周期销售数据表!$A2:$L200,7,FALSE)</f>
        <v>0</v>
      </c>
      <c r="AC105" s="81">
        <f t="shared" si="13"/>
        <v>46</v>
      </c>
      <c r="AD105" s="81">
        <f t="shared" si="14"/>
        <v>6</v>
      </c>
    </row>
    <row r="106" hidden="1" spans="1:30">
      <c r="A106" s="61">
        <v>26041</v>
      </c>
      <c r="B106" s="57" t="s">
        <v>105</v>
      </c>
      <c r="C106" s="62" t="s">
        <v>137</v>
      </c>
      <c r="D106" s="57" t="s">
        <v>36</v>
      </c>
      <c r="F106" s="57">
        <v>2</v>
      </c>
      <c r="G106" s="57">
        <f>VLOOKUP(A106,运维频率!A2:B299,2,FALSE)</f>
        <v>0</v>
      </c>
      <c r="H106" s="57">
        <f>VLOOKUP(A106,上周期销售数据表!$A2:$O200,15,FALSE)</f>
        <v>11</v>
      </c>
      <c r="I106" s="57">
        <f>VLOOKUP(A106,本周期销售数据表!$A2:$O200,15,FALSE)</f>
        <v>16</v>
      </c>
      <c r="J106" s="71">
        <f t="shared" si="12"/>
        <v>0.454545454545455</v>
      </c>
      <c r="K106" s="57">
        <f>VLOOKUP(A106,本周期销售数据表!$A2:$L200,10,FALSE)</f>
        <v>160.8</v>
      </c>
      <c r="L106" s="57">
        <f>VLOOKUP(A106,本周期销售数据表!$A2:$L200,7,FALSE)</f>
        <v>0</v>
      </c>
      <c r="AC106" s="81">
        <f t="shared" si="13"/>
        <v>31</v>
      </c>
      <c r="AD106" s="81">
        <f t="shared" si="14"/>
        <v>-9</v>
      </c>
    </row>
    <row r="107" hidden="1" spans="1:30">
      <c r="A107" s="61">
        <v>26042</v>
      </c>
      <c r="B107" s="57" t="s">
        <v>105</v>
      </c>
      <c r="C107" s="62" t="s">
        <v>138</v>
      </c>
      <c r="D107" s="57" t="s">
        <v>36</v>
      </c>
      <c r="F107" s="57">
        <v>2</v>
      </c>
      <c r="G107" s="57">
        <f>VLOOKUP(A107,运维频率!A2:B299,2,FALSE)</f>
        <v>0</v>
      </c>
      <c r="H107" s="57">
        <f>VLOOKUP(A107,上周期销售数据表!$A2:$O200,15,FALSE)</f>
        <v>19</v>
      </c>
      <c r="I107" s="57">
        <f>VLOOKUP(A107,本周期销售数据表!$A2:$O200,15,FALSE)</f>
        <v>15</v>
      </c>
      <c r="J107" s="71">
        <f t="shared" ref="J107:J137" si="15">(I107-H107)/H107*100%</f>
        <v>-0.210526315789474</v>
      </c>
      <c r="K107" s="57">
        <f>VLOOKUP(A107,本周期销售数据表!$A2:$L200,10,FALSE)</f>
        <v>152.6</v>
      </c>
      <c r="L107" s="57">
        <f>VLOOKUP(A107,本周期销售数据表!$A2:$L200,7,FALSE)</f>
        <v>0</v>
      </c>
      <c r="AC107" s="81">
        <f t="shared" ref="AC107:AC124" si="16">H107+20</f>
        <v>39</v>
      </c>
      <c r="AD107" s="81">
        <f t="shared" ref="AD107:AD124" si="17">H107-20</f>
        <v>-1</v>
      </c>
    </row>
    <row r="108" hidden="1" spans="1:30">
      <c r="A108" s="61">
        <v>26040</v>
      </c>
      <c r="B108" s="57" t="s">
        <v>105</v>
      </c>
      <c r="C108" s="62" t="s">
        <v>139</v>
      </c>
      <c r="D108" s="57" t="s">
        <v>36</v>
      </c>
      <c r="F108" s="57">
        <v>2</v>
      </c>
      <c r="G108" s="57">
        <f>VLOOKUP(A108,运维频率!A2:B299,2,FALSE)</f>
        <v>0</v>
      </c>
      <c r="H108" s="57">
        <f>VLOOKUP(A108,上周期销售数据表!$A2:$O200,15,FALSE)</f>
        <v>19</v>
      </c>
      <c r="I108" s="57">
        <f>VLOOKUP(A108,本周期销售数据表!$A2:$O200,15,FALSE)</f>
        <v>14</v>
      </c>
      <c r="J108" s="71">
        <f t="shared" si="15"/>
        <v>-0.263157894736842</v>
      </c>
      <c r="K108" s="57">
        <f>VLOOKUP(A108,本周期销售数据表!$A2:$L200,10,FALSE)</f>
        <v>127.8</v>
      </c>
      <c r="L108" s="57">
        <f>VLOOKUP(A108,本周期销售数据表!$A2:$L200,7,FALSE)</f>
        <v>0</v>
      </c>
      <c r="AC108" s="81">
        <f t="shared" si="16"/>
        <v>39</v>
      </c>
      <c r="AD108" s="81">
        <f t="shared" si="17"/>
        <v>-1</v>
      </c>
    </row>
    <row r="109" hidden="1" spans="1:30">
      <c r="A109" s="59">
        <v>67236</v>
      </c>
      <c r="B109" s="57" t="s">
        <v>140</v>
      </c>
      <c r="C109" s="65" t="s">
        <v>141</v>
      </c>
      <c r="D109" s="57" t="s">
        <v>36</v>
      </c>
      <c r="F109" s="57">
        <v>2</v>
      </c>
      <c r="G109" s="57">
        <f>VLOOKUP(A109,运维频率!A2:B299,2,FALSE)</f>
        <v>2</v>
      </c>
      <c r="H109" s="57">
        <f>VLOOKUP(A109,上周期销售数据表!$A2:$O200,15,FALSE)</f>
        <v>7</v>
      </c>
      <c r="I109" s="57">
        <f>VLOOKUP(A109,本周期销售数据表!$A2:$O200,15,FALSE)</f>
        <v>14</v>
      </c>
      <c r="J109" s="71">
        <f t="shared" si="15"/>
        <v>1</v>
      </c>
      <c r="K109" s="57">
        <f>VLOOKUP(A109,本周期销售数据表!$A2:$L200,10,FALSE)</f>
        <v>190.5</v>
      </c>
      <c r="L109" s="57">
        <f>VLOOKUP(A109,本周期销售数据表!$A2:$L200,7,FALSE)</f>
        <v>0</v>
      </c>
      <c r="AC109" s="81">
        <f t="shared" si="16"/>
        <v>27</v>
      </c>
      <c r="AD109" s="81">
        <f t="shared" si="17"/>
        <v>-13</v>
      </c>
    </row>
    <row r="110" hidden="1" spans="1:30">
      <c r="A110" s="59">
        <v>66333</v>
      </c>
      <c r="B110" s="57" t="s">
        <v>140</v>
      </c>
      <c r="C110" s="65" t="s">
        <v>142</v>
      </c>
      <c r="D110" s="57" t="s">
        <v>36</v>
      </c>
      <c r="F110" s="57">
        <v>1</v>
      </c>
      <c r="G110" s="57">
        <f>VLOOKUP(A110,运维频率!A2:B299,2,FALSE)</f>
        <v>2</v>
      </c>
      <c r="H110" s="57">
        <f>VLOOKUP(A110,上周期销售数据表!$A2:$O200,15,FALSE)</f>
        <v>37</v>
      </c>
      <c r="I110" s="57">
        <f>VLOOKUP(A110,本周期销售数据表!$A2:$O200,15,FALSE)</f>
        <v>16</v>
      </c>
      <c r="J110" s="71">
        <f t="shared" si="15"/>
        <v>-0.567567567567568</v>
      </c>
      <c r="K110" s="57">
        <f>VLOOKUP(A110,本周期销售数据表!$A2:$L200,10,FALSE)</f>
        <v>227.1</v>
      </c>
      <c r="L110" s="57">
        <f>VLOOKUP(A110,本周期销售数据表!$A2:$L200,7,FALSE)</f>
        <v>0</v>
      </c>
      <c r="AC110" s="81">
        <f t="shared" si="16"/>
        <v>57</v>
      </c>
      <c r="AD110" s="81">
        <f t="shared" si="17"/>
        <v>17</v>
      </c>
    </row>
    <row r="111" hidden="1" spans="1:30">
      <c r="A111" s="61">
        <v>66334</v>
      </c>
      <c r="B111" s="57" t="s">
        <v>143</v>
      </c>
      <c r="C111" s="62" t="s">
        <v>144</v>
      </c>
      <c r="D111" s="57" t="s">
        <v>36</v>
      </c>
      <c r="F111" s="57">
        <v>2</v>
      </c>
      <c r="G111" s="57">
        <f>VLOOKUP(A111,运维频率!A2:B299,2,FALSE)</f>
        <v>1</v>
      </c>
      <c r="H111" s="57">
        <f>VLOOKUP(A111,上周期销售数据表!$A2:$O200,15,FALSE)</f>
        <v>17</v>
      </c>
      <c r="I111" s="57">
        <f>VLOOKUP(A111,本周期销售数据表!$A2:$O200,15,FALSE)</f>
        <v>14</v>
      </c>
      <c r="J111" s="71">
        <f t="shared" si="15"/>
        <v>-0.176470588235294</v>
      </c>
      <c r="K111" s="57">
        <f>VLOOKUP(A111,本周期销售数据表!$A2:$L200,10,FALSE)</f>
        <v>216.2</v>
      </c>
      <c r="L111" s="57">
        <f>VLOOKUP(A111,本周期销售数据表!$A2:$L200,7,FALSE)</f>
        <v>0</v>
      </c>
      <c r="AC111" s="81">
        <f t="shared" si="16"/>
        <v>37</v>
      </c>
      <c r="AD111" s="81">
        <f t="shared" si="17"/>
        <v>-3</v>
      </c>
    </row>
    <row r="112" hidden="1" spans="1:30">
      <c r="A112" s="61">
        <v>66332</v>
      </c>
      <c r="B112" s="57" t="s">
        <v>143</v>
      </c>
      <c r="C112" s="62" t="s">
        <v>145</v>
      </c>
      <c r="D112" s="57" t="s">
        <v>36</v>
      </c>
      <c r="F112" s="57">
        <v>1</v>
      </c>
      <c r="G112" s="57">
        <f>VLOOKUP(A112,运维频率!A2:B299,2,FALSE)</f>
        <v>2</v>
      </c>
      <c r="H112" s="57">
        <f>VLOOKUP(A112,上周期销售数据表!$A2:$O200,15,FALSE)</f>
        <v>35</v>
      </c>
      <c r="I112" s="57">
        <f>VLOOKUP(A112,本周期销售数据表!$A2:$O200,15,FALSE)</f>
        <v>5</v>
      </c>
      <c r="J112" s="71">
        <f t="shared" si="15"/>
        <v>-0.857142857142857</v>
      </c>
      <c r="K112" s="57">
        <f>VLOOKUP(A112,本周期销售数据表!$A2:$L200,10,FALSE)</f>
        <v>77</v>
      </c>
      <c r="L112" s="57">
        <f>VLOOKUP(A112,本周期销售数据表!$A2:$L200,7,FALSE)</f>
        <v>0</v>
      </c>
      <c r="AC112" s="81">
        <f t="shared" si="16"/>
        <v>55</v>
      </c>
      <c r="AD112" s="81">
        <f t="shared" si="17"/>
        <v>15</v>
      </c>
    </row>
    <row r="113" hidden="1" spans="1:30">
      <c r="A113" s="61">
        <v>59479</v>
      </c>
      <c r="B113" s="57" t="s">
        <v>146</v>
      </c>
      <c r="C113" s="62" t="s">
        <v>147</v>
      </c>
      <c r="D113" s="57" t="s">
        <v>29</v>
      </c>
      <c r="F113" s="57">
        <v>0</v>
      </c>
      <c r="G113" s="57">
        <f>VLOOKUP(A113,运维频率!A2:B299,2,FALSE)</f>
        <v>1</v>
      </c>
      <c r="H113" s="57">
        <f>VLOOKUP(A113,上周期销售数据表!$A2:$O200,15,FALSE)</f>
        <v>19</v>
      </c>
      <c r="I113" s="57">
        <f>VLOOKUP(A113,本周期销售数据表!$A2:$O200,15,FALSE)</f>
        <v>22</v>
      </c>
      <c r="J113" s="71">
        <f t="shared" si="15"/>
        <v>0.157894736842105</v>
      </c>
      <c r="K113" s="57">
        <f>VLOOKUP(A113,本周期销售数据表!$A2:$L200,10,FALSE)</f>
        <v>362.3</v>
      </c>
      <c r="L113" s="57">
        <f>VLOOKUP(A113,本周期销售数据表!$A2:$L200,7,FALSE)</f>
        <v>0</v>
      </c>
      <c r="AC113" s="81">
        <f t="shared" si="16"/>
        <v>39</v>
      </c>
      <c r="AD113" s="81">
        <f t="shared" si="17"/>
        <v>-1</v>
      </c>
    </row>
    <row r="114" hidden="1" spans="1:30">
      <c r="A114" s="61">
        <v>59480</v>
      </c>
      <c r="B114" s="57" t="s">
        <v>146</v>
      </c>
      <c r="C114" s="62" t="s">
        <v>148</v>
      </c>
      <c r="D114" s="57" t="s">
        <v>29</v>
      </c>
      <c r="F114" s="57">
        <v>0</v>
      </c>
      <c r="G114" s="57">
        <f>VLOOKUP(A114,运维频率!A2:B299,2,FALSE)</f>
        <v>1</v>
      </c>
      <c r="H114" s="57">
        <f>VLOOKUP(A114,上周期销售数据表!$A2:$O200,15,FALSE)</f>
        <v>17</v>
      </c>
      <c r="I114" s="57">
        <f>VLOOKUP(A114,本周期销售数据表!$A2:$O200,15,FALSE)</f>
        <v>15</v>
      </c>
      <c r="J114" s="71">
        <f t="shared" si="15"/>
        <v>-0.117647058823529</v>
      </c>
      <c r="K114" s="57">
        <f>VLOOKUP(A114,本周期销售数据表!$A2:$L200,10,FALSE)</f>
        <v>238.2</v>
      </c>
      <c r="L114" s="57">
        <f>VLOOKUP(A114,本周期销售数据表!$A2:$L200,7,FALSE)</f>
        <v>0</v>
      </c>
      <c r="AC114" s="81">
        <f t="shared" si="16"/>
        <v>37</v>
      </c>
      <c r="AD114" s="81">
        <f t="shared" si="17"/>
        <v>-3</v>
      </c>
    </row>
    <row r="115" s="54" customFormat="1" hidden="1" spans="1:30">
      <c r="A115" s="66">
        <v>19824</v>
      </c>
      <c r="B115" s="67" t="s">
        <v>149</v>
      </c>
      <c r="C115" s="68" t="s">
        <v>150</v>
      </c>
      <c r="D115" s="67" t="s">
        <v>29</v>
      </c>
      <c r="F115" s="67">
        <v>0</v>
      </c>
      <c r="G115" s="67">
        <f>VLOOKUP(A115,运维频率!A2:B299,2,FALSE)</f>
        <v>0</v>
      </c>
      <c r="H115" s="67" t="e">
        <f>VLOOKUP(A115,上周期销售数据表!$A2:$O200,15,FALSE)</f>
        <v>#N/A</v>
      </c>
      <c r="I115" s="67" t="e">
        <f>VLOOKUP(A115,本周期销售数据表!$A2:$O200,15,FALSE)</f>
        <v>#N/A</v>
      </c>
      <c r="J115" s="77" t="e">
        <f t="shared" si="15"/>
        <v>#N/A</v>
      </c>
      <c r="K115" s="67" t="e">
        <f>VLOOKUP(A115,本周期销售数据表!$A2:$L200,10,FALSE)</f>
        <v>#N/A</v>
      </c>
      <c r="L115" s="67" t="e">
        <f>VLOOKUP(A115,本周期销售数据表!$A2:$L200,7,FALSE)</f>
        <v>#N/A</v>
      </c>
      <c r="O115" s="86"/>
      <c r="AC115" s="82" t="e">
        <f t="shared" si="16"/>
        <v>#N/A</v>
      </c>
      <c r="AD115" s="82" t="e">
        <f t="shared" si="17"/>
        <v>#N/A</v>
      </c>
    </row>
    <row r="116" s="54" customFormat="1" hidden="1" spans="1:30">
      <c r="A116" s="66">
        <v>23480</v>
      </c>
      <c r="B116" s="67" t="s">
        <v>149</v>
      </c>
      <c r="C116" s="68" t="s">
        <v>151</v>
      </c>
      <c r="D116" s="67" t="s">
        <v>29</v>
      </c>
      <c r="F116" s="67">
        <v>0</v>
      </c>
      <c r="G116" s="67">
        <f>VLOOKUP(A116,运维频率!A2:B299,2,FALSE)</f>
        <v>0</v>
      </c>
      <c r="H116" s="67" t="e">
        <f>VLOOKUP(A116,上周期销售数据表!$A2:$O200,15,FALSE)</f>
        <v>#N/A</v>
      </c>
      <c r="I116" s="67" t="e">
        <f>VLOOKUP(A116,本周期销售数据表!$A2:$O200,15,FALSE)</f>
        <v>#N/A</v>
      </c>
      <c r="J116" s="77" t="e">
        <f t="shared" si="15"/>
        <v>#N/A</v>
      </c>
      <c r="K116" s="67" t="e">
        <f>VLOOKUP(A116,本周期销售数据表!$A2:$L200,10,FALSE)</f>
        <v>#N/A</v>
      </c>
      <c r="L116" s="67" t="e">
        <f>VLOOKUP(A116,本周期销售数据表!$A2:$L200,7,FALSE)</f>
        <v>#N/A</v>
      </c>
      <c r="O116" s="86"/>
      <c r="AC116" s="82" t="e">
        <f t="shared" si="16"/>
        <v>#N/A</v>
      </c>
      <c r="AD116" s="82" t="e">
        <f t="shared" si="17"/>
        <v>#N/A</v>
      </c>
    </row>
    <row r="117" s="54" customFormat="1" hidden="1" spans="1:30">
      <c r="A117" s="66">
        <v>33530</v>
      </c>
      <c r="B117" s="67" t="s">
        <v>149</v>
      </c>
      <c r="C117" s="68" t="s">
        <v>152</v>
      </c>
      <c r="D117" s="67" t="s">
        <v>29</v>
      </c>
      <c r="F117" s="67">
        <v>0</v>
      </c>
      <c r="G117" s="67">
        <f>VLOOKUP(A117,运维频率!A2:B299,2,FALSE)</f>
        <v>0</v>
      </c>
      <c r="H117" s="67" t="e">
        <f>VLOOKUP(A117,上周期销售数据表!$A2:$O200,15,FALSE)</f>
        <v>#N/A</v>
      </c>
      <c r="I117" s="67" t="e">
        <f>VLOOKUP(A117,本周期销售数据表!$A2:$O200,15,FALSE)</f>
        <v>#N/A</v>
      </c>
      <c r="J117" s="77" t="e">
        <f t="shared" si="15"/>
        <v>#N/A</v>
      </c>
      <c r="K117" s="67" t="e">
        <f>VLOOKUP(A117,本周期销售数据表!$A2:$L200,10,FALSE)</f>
        <v>#N/A</v>
      </c>
      <c r="L117" s="67" t="e">
        <f>VLOOKUP(A117,本周期销售数据表!$A2:$L200,7,FALSE)</f>
        <v>#N/A</v>
      </c>
      <c r="O117" s="86"/>
      <c r="AC117" s="82" t="e">
        <f t="shared" si="16"/>
        <v>#N/A</v>
      </c>
      <c r="AD117" s="82" t="e">
        <f t="shared" si="17"/>
        <v>#N/A</v>
      </c>
    </row>
    <row r="118" hidden="1" spans="1:30">
      <c r="A118" s="61">
        <v>33412</v>
      </c>
      <c r="B118" s="57" t="s">
        <v>153</v>
      </c>
      <c r="C118" s="62" t="s">
        <v>154</v>
      </c>
      <c r="D118" s="57" t="s">
        <v>36</v>
      </c>
      <c r="F118" s="57">
        <v>0</v>
      </c>
      <c r="G118" s="57">
        <f>VLOOKUP(A118,运维频率!A2:B299,2,FALSE)</f>
        <v>0</v>
      </c>
      <c r="H118" s="57">
        <f>VLOOKUP(A118,上周期销售数据表!$A2:$O200,15,FALSE)</f>
        <v>35</v>
      </c>
      <c r="I118" s="57">
        <f>VLOOKUP(A118,本周期销售数据表!$A2:$O200,15,FALSE)</f>
        <v>32</v>
      </c>
      <c r="J118" s="71">
        <f t="shared" si="15"/>
        <v>-0.0857142857142857</v>
      </c>
      <c r="K118" s="57">
        <f>VLOOKUP(A118,本周期销售数据表!$A2:$L200,10,FALSE)</f>
        <v>330.8</v>
      </c>
      <c r="L118" s="57">
        <f>VLOOKUP(A118,本周期销售数据表!$A2:$L200,7,FALSE)</f>
        <v>0</v>
      </c>
      <c r="AC118" s="81">
        <f t="shared" si="16"/>
        <v>55</v>
      </c>
      <c r="AD118" s="81">
        <f t="shared" si="17"/>
        <v>15</v>
      </c>
    </row>
    <row r="119" hidden="1" spans="1:30">
      <c r="A119" s="61">
        <v>33414</v>
      </c>
      <c r="B119" s="57" t="s">
        <v>153</v>
      </c>
      <c r="C119" s="62" t="s">
        <v>155</v>
      </c>
      <c r="D119" s="57" t="s">
        <v>36</v>
      </c>
      <c r="F119" s="57">
        <v>1</v>
      </c>
      <c r="G119" s="57">
        <f>VLOOKUP(A119,运维频率!A2:B299,2,FALSE)</f>
        <v>0</v>
      </c>
      <c r="H119" s="57">
        <f>VLOOKUP(A119,上周期销售数据表!$A2:$O200,15,FALSE)</f>
        <v>32</v>
      </c>
      <c r="I119" s="57">
        <f>VLOOKUP(A119,本周期销售数据表!$A2:$O200,15,FALSE)</f>
        <v>96</v>
      </c>
      <c r="J119" s="71">
        <f t="shared" si="15"/>
        <v>2</v>
      </c>
      <c r="K119" s="57">
        <f>VLOOKUP(A119,本周期销售数据表!$A2:$L200,10,FALSE)</f>
        <v>746.66</v>
      </c>
      <c r="L119" s="57">
        <f>VLOOKUP(A119,本周期销售数据表!$A2:$L200,7,FALSE)</f>
        <v>0</v>
      </c>
      <c r="AC119" s="81">
        <f t="shared" si="16"/>
        <v>52</v>
      </c>
      <c r="AD119" s="81">
        <f t="shared" si="17"/>
        <v>12</v>
      </c>
    </row>
    <row r="120" hidden="1" spans="1:30">
      <c r="A120" s="61">
        <v>33426</v>
      </c>
      <c r="B120" s="57" t="s">
        <v>153</v>
      </c>
      <c r="C120" s="62" t="s">
        <v>156</v>
      </c>
      <c r="D120" s="57" t="s">
        <v>36</v>
      </c>
      <c r="F120" s="57">
        <v>0</v>
      </c>
      <c r="G120" s="57">
        <f>VLOOKUP(A120,运维频率!A2:B299,2,FALSE)</f>
        <v>0</v>
      </c>
      <c r="H120" s="57">
        <f>VLOOKUP(A120,上周期销售数据表!$A2:$O200,15,FALSE)</f>
        <v>13</v>
      </c>
      <c r="I120" s="57">
        <f>VLOOKUP(A120,本周期销售数据表!$A2:$O200,15,FALSE)</f>
        <v>30</v>
      </c>
      <c r="J120" s="71">
        <f t="shared" si="15"/>
        <v>1.30769230769231</v>
      </c>
      <c r="K120" s="57">
        <f>VLOOKUP(A120,本周期销售数据表!$A2:$L200,10,FALSE)</f>
        <v>290</v>
      </c>
      <c r="L120" s="57">
        <f>VLOOKUP(A120,本周期销售数据表!$A2:$L200,7,FALSE)</f>
        <v>0</v>
      </c>
      <c r="AC120" s="81">
        <f t="shared" si="16"/>
        <v>33</v>
      </c>
      <c r="AD120" s="81">
        <f t="shared" si="17"/>
        <v>-7</v>
      </c>
    </row>
    <row r="121" hidden="1" spans="1:30">
      <c r="A121" s="61">
        <v>33417</v>
      </c>
      <c r="B121" s="57" t="s">
        <v>157</v>
      </c>
      <c r="C121" s="62" t="s">
        <v>158</v>
      </c>
      <c r="D121" s="57" t="s">
        <v>29</v>
      </c>
      <c r="F121" s="57">
        <v>2</v>
      </c>
      <c r="G121" s="57">
        <f>VLOOKUP(A121,运维频率!A2:B299,2,FALSE)</f>
        <v>2</v>
      </c>
      <c r="H121" s="57">
        <f>VLOOKUP(A121,上周期销售数据表!$A2:$O200,15,FALSE)</f>
        <v>50</v>
      </c>
      <c r="I121" s="57">
        <f>VLOOKUP(A121,本周期销售数据表!$A2:$O200,15,FALSE)</f>
        <v>60</v>
      </c>
      <c r="J121" s="71">
        <f t="shared" si="15"/>
        <v>0.2</v>
      </c>
      <c r="K121" s="57">
        <f>VLOOKUP(A121,本周期销售数据表!$A2:$L200,10,FALSE)</f>
        <v>588</v>
      </c>
      <c r="L121" s="57">
        <f>VLOOKUP(A121,本周期销售数据表!$A2:$L200,7,FALSE)</f>
        <v>3</v>
      </c>
      <c r="AC121" s="81">
        <f t="shared" si="16"/>
        <v>70</v>
      </c>
      <c r="AD121" s="81">
        <f t="shared" si="17"/>
        <v>30</v>
      </c>
    </row>
    <row r="122" hidden="1" spans="1:30">
      <c r="A122" s="61">
        <v>33515</v>
      </c>
      <c r="B122" s="57" t="s">
        <v>159</v>
      </c>
      <c r="C122" s="62" t="s">
        <v>160</v>
      </c>
      <c r="D122" s="57" t="s">
        <v>29</v>
      </c>
      <c r="F122" s="57">
        <v>2</v>
      </c>
      <c r="G122" s="57">
        <f>VLOOKUP(A122,运维频率!A2:B299,2,FALSE)</f>
        <v>1</v>
      </c>
      <c r="H122" s="57">
        <f>VLOOKUP(A122,上周期销售数据表!$A2:$O200,15,FALSE)</f>
        <v>14</v>
      </c>
      <c r="I122" s="57">
        <f>VLOOKUP(A122,本周期销售数据表!$A2:$O200,15,FALSE)</f>
        <v>9</v>
      </c>
      <c r="J122" s="71">
        <f t="shared" si="15"/>
        <v>-0.357142857142857</v>
      </c>
      <c r="K122" s="57">
        <f>VLOOKUP(A122,本周期销售数据表!$A2:$L200,10,FALSE)</f>
        <v>97.2</v>
      </c>
      <c r="L122" s="57">
        <f>VLOOKUP(A122,本周期销售数据表!$A2:$L200,7,FALSE)</f>
        <v>0</v>
      </c>
      <c r="AC122" s="81">
        <f t="shared" si="16"/>
        <v>34</v>
      </c>
      <c r="AD122" s="81">
        <f t="shared" si="17"/>
        <v>-6</v>
      </c>
    </row>
    <row r="123" hidden="1" spans="1:30">
      <c r="A123" s="61">
        <v>33523</v>
      </c>
      <c r="B123" s="57" t="s">
        <v>159</v>
      </c>
      <c r="C123" s="62" t="s">
        <v>161</v>
      </c>
      <c r="D123" s="57" t="s">
        <v>29</v>
      </c>
      <c r="F123" s="57">
        <v>1</v>
      </c>
      <c r="G123" s="57">
        <f>VLOOKUP(A123,运维频率!A2:B299,2,FALSE)</f>
        <v>0</v>
      </c>
      <c r="H123" s="57">
        <f>VLOOKUP(A123,上周期销售数据表!$A2:$O200,15,FALSE)</f>
        <v>4</v>
      </c>
      <c r="I123" s="57">
        <f>VLOOKUP(A123,本周期销售数据表!$A2:$O200,15,FALSE)</f>
        <v>5</v>
      </c>
      <c r="J123" s="71">
        <f t="shared" si="15"/>
        <v>0.25</v>
      </c>
      <c r="K123" s="57">
        <f>VLOOKUP(A123,本周期销售数据表!$A2:$L200,10,FALSE)</f>
        <v>50.2</v>
      </c>
      <c r="L123" s="57">
        <f>VLOOKUP(A123,本周期销售数据表!$A2:$L200,7,FALSE)</f>
        <v>2</v>
      </c>
      <c r="AC123" s="81">
        <f t="shared" si="16"/>
        <v>24</v>
      </c>
      <c r="AD123" s="81">
        <f t="shared" si="17"/>
        <v>-16</v>
      </c>
    </row>
    <row r="124" hidden="1" spans="1:30">
      <c r="A124" s="61">
        <v>68852</v>
      </c>
      <c r="B124" s="57" t="s">
        <v>162</v>
      </c>
      <c r="C124" s="62" t="s">
        <v>163</v>
      </c>
      <c r="D124" s="57" t="s">
        <v>36</v>
      </c>
      <c r="F124" s="57">
        <v>2</v>
      </c>
      <c r="G124" s="57">
        <f>VLOOKUP(A124,运维频率!A2:B299,2,FALSE)</f>
        <v>2</v>
      </c>
      <c r="H124" s="57">
        <f>VLOOKUP(A124,上周期销售数据表!$A2:$O200,15,FALSE)</f>
        <v>61</v>
      </c>
      <c r="I124" s="57">
        <f>VLOOKUP(A124,本周期销售数据表!$A2:$O200,15,FALSE)</f>
        <v>59</v>
      </c>
      <c r="J124" s="71">
        <f t="shared" si="15"/>
        <v>-0.0327868852459016</v>
      </c>
      <c r="K124" s="57">
        <f>VLOOKUP(A124,本周期销售数据表!$A2:$L200,10,FALSE)</f>
        <v>685.3</v>
      </c>
      <c r="L124" s="57">
        <f>VLOOKUP(A124,本周期销售数据表!$A2:$L200,7,FALSE)</f>
        <v>1</v>
      </c>
      <c r="AC124" s="81">
        <f t="shared" si="16"/>
        <v>81</v>
      </c>
      <c r="AD124" s="81">
        <f t="shared" si="17"/>
        <v>41</v>
      </c>
    </row>
    <row r="125" hidden="1" spans="1:30">
      <c r="A125" s="61">
        <v>68722</v>
      </c>
      <c r="B125" s="57" t="s">
        <v>91</v>
      </c>
      <c r="C125" s="87" t="s">
        <v>164</v>
      </c>
      <c r="D125" s="57" t="s">
        <v>36</v>
      </c>
      <c r="F125" s="57">
        <v>2</v>
      </c>
      <c r="G125" s="57">
        <f>VLOOKUP(A125,运维频率!A2:B299,2,FALSE)</f>
        <v>2</v>
      </c>
      <c r="H125" s="57">
        <f>VLOOKUP(A125,上周期销售数据表!$A2:$O200,15,FALSE)</f>
        <v>24</v>
      </c>
      <c r="I125" s="57">
        <f>VLOOKUP(A125,本周期销售数据表!$A2:$O200,15,FALSE)</f>
        <v>26</v>
      </c>
      <c r="J125" s="71">
        <f t="shared" si="15"/>
        <v>0.0833333333333333</v>
      </c>
      <c r="K125" s="57">
        <f>VLOOKUP(A125,本周期销售数据表!$A2:$L200,10,FALSE)</f>
        <v>376</v>
      </c>
      <c r="L125" s="57">
        <f>VLOOKUP(A125,本周期销售数据表!$A2:$L200,7,FALSE)</f>
        <v>0</v>
      </c>
      <c r="AC125" s="81">
        <f t="shared" ref="AC125:AC147" si="18">H125+20</f>
        <v>44</v>
      </c>
      <c r="AD125" s="81">
        <f t="shared" ref="AD125:AD145" si="19">H125-20</f>
        <v>4</v>
      </c>
    </row>
    <row r="126" hidden="1" spans="1:30">
      <c r="A126" s="61">
        <v>68723</v>
      </c>
      <c r="B126" s="57" t="s">
        <v>91</v>
      </c>
      <c r="C126" s="87" t="s">
        <v>165</v>
      </c>
      <c r="D126" s="57" t="s">
        <v>36</v>
      </c>
      <c r="F126" s="57">
        <v>2</v>
      </c>
      <c r="G126" s="57">
        <f>VLOOKUP(A126,运维频率!A2:B299,2,FALSE)</f>
        <v>2</v>
      </c>
      <c r="H126" s="57">
        <f>VLOOKUP(A126,上周期销售数据表!$A2:$O200,15,FALSE)</f>
        <v>117</v>
      </c>
      <c r="I126" s="57">
        <f>VLOOKUP(A126,本周期销售数据表!$A2:$O200,15,FALSE)</f>
        <v>45</v>
      </c>
      <c r="J126" s="71">
        <f t="shared" si="15"/>
        <v>-0.615384615384615</v>
      </c>
      <c r="K126" s="57">
        <f>VLOOKUP(A126,本周期销售数据表!$A2:$L200,10,FALSE)</f>
        <v>675.8</v>
      </c>
      <c r="L126" s="57">
        <f>VLOOKUP(A126,本周期销售数据表!$A2:$L200,7,FALSE)</f>
        <v>0</v>
      </c>
      <c r="AC126" s="81">
        <f t="shared" si="18"/>
        <v>137</v>
      </c>
      <c r="AD126" s="81">
        <f t="shared" si="19"/>
        <v>97</v>
      </c>
    </row>
    <row r="127" hidden="1" spans="1:30">
      <c r="A127" s="61">
        <v>22258</v>
      </c>
      <c r="B127" s="57" t="s">
        <v>166</v>
      </c>
      <c r="C127" s="62" t="s">
        <v>167</v>
      </c>
      <c r="D127" s="57" t="s">
        <v>36</v>
      </c>
      <c r="F127" s="57">
        <v>2</v>
      </c>
      <c r="G127" s="57">
        <f>VLOOKUP(A127,运维频率!A2:B299,2,FALSE)</f>
        <v>2</v>
      </c>
      <c r="H127" s="57">
        <f>VLOOKUP(A127,上周期销售数据表!$A2:$O200,15,FALSE)</f>
        <v>102</v>
      </c>
      <c r="I127" s="57">
        <f>VLOOKUP(A127,本周期销售数据表!$A2:$O200,15,FALSE)</f>
        <v>99</v>
      </c>
      <c r="J127" s="71">
        <f t="shared" si="15"/>
        <v>-0.0294117647058824</v>
      </c>
      <c r="K127" s="57">
        <f>VLOOKUP(A127,本周期销售数据表!$A2:$L200,10,FALSE)</f>
        <v>780</v>
      </c>
      <c r="L127" s="57">
        <f>VLOOKUP(A127,本周期销售数据表!$A2:$L200,7,FALSE)</f>
        <v>0</v>
      </c>
      <c r="AC127" s="81">
        <f t="shared" si="18"/>
        <v>122</v>
      </c>
      <c r="AD127" s="81">
        <f t="shared" si="19"/>
        <v>82</v>
      </c>
    </row>
    <row r="128" hidden="1" spans="1:30">
      <c r="A128" s="61">
        <v>23395</v>
      </c>
      <c r="B128" s="57" t="s">
        <v>166</v>
      </c>
      <c r="C128" s="62" t="s">
        <v>168</v>
      </c>
      <c r="D128" s="57" t="s">
        <v>36</v>
      </c>
      <c r="F128" s="57">
        <v>2</v>
      </c>
      <c r="G128" s="57">
        <f>VLOOKUP(A128,运维频率!A2:B299,2,FALSE)</f>
        <v>2</v>
      </c>
      <c r="H128" s="57">
        <f>VLOOKUP(A128,上周期销售数据表!$A2:$O200,15,FALSE)</f>
        <v>2</v>
      </c>
      <c r="I128" s="57">
        <f>VLOOKUP(A128,本周期销售数据表!$A2:$O200,15,FALSE)</f>
        <v>3</v>
      </c>
      <c r="J128" s="71">
        <f t="shared" si="15"/>
        <v>0.5</v>
      </c>
      <c r="K128" s="57">
        <f>VLOOKUP(A128,本周期销售数据表!$A2:$L200,10,FALSE)</f>
        <v>16</v>
      </c>
      <c r="L128" s="57">
        <f>VLOOKUP(A128,本周期销售数据表!$A2:$L200,7,FALSE)</f>
        <v>1</v>
      </c>
      <c r="AC128" s="81">
        <f t="shared" si="18"/>
        <v>22</v>
      </c>
      <c r="AD128" s="81">
        <f t="shared" si="19"/>
        <v>-18</v>
      </c>
    </row>
    <row r="129" hidden="1" spans="1:30">
      <c r="A129" s="61">
        <v>62546</v>
      </c>
      <c r="B129" s="57" t="s">
        <v>166</v>
      </c>
      <c r="C129" s="62" t="s">
        <v>169</v>
      </c>
      <c r="D129" s="57" t="s">
        <v>36</v>
      </c>
      <c r="F129" s="57">
        <v>2</v>
      </c>
      <c r="G129" s="57">
        <f>VLOOKUP(A129,运维频率!A2:B299,2,FALSE)</f>
        <v>2</v>
      </c>
      <c r="H129" s="57">
        <f>VLOOKUP(A129,上周期销售数据表!$A2:$O200,15,FALSE)</f>
        <v>10</v>
      </c>
      <c r="I129" s="57">
        <f>VLOOKUP(A129,本周期销售数据表!$A2:$O200,15,FALSE)</f>
        <v>10</v>
      </c>
      <c r="J129" s="71">
        <f t="shared" si="15"/>
        <v>0</v>
      </c>
      <c r="K129" s="57">
        <f>VLOOKUP(A129,本周期销售数据表!$A2:$L200,10,FALSE)</f>
        <v>80</v>
      </c>
      <c r="L129" s="57">
        <f>VLOOKUP(A129,本周期销售数据表!$A2:$L200,7,FALSE)</f>
        <v>0</v>
      </c>
      <c r="AC129" s="81">
        <f t="shared" si="18"/>
        <v>30</v>
      </c>
      <c r="AD129" s="81">
        <f t="shared" si="19"/>
        <v>-10</v>
      </c>
    </row>
    <row r="130" hidden="1" spans="1:30">
      <c r="A130" s="61">
        <v>66130</v>
      </c>
      <c r="B130" s="57" t="s">
        <v>170</v>
      </c>
      <c r="C130" s="62" t="s">
        <v>171</v>
      </c>
      <c r="D130" s="57" t="s">
        <v>36</v>
      </c>
      <c r="F130" s="57">
        <v>2</v>
      </c>
      <c r="G130" s="57">
        <f>VLOOKUP(A130,运维频率!A2:B299,2,FALSE)</f>
        <v>2</v>
      </c>
      <c r="H130" s="57">
        <f>VLOOKUP(A130,上周期销售数据表!$A2:$O200,15,FALSE)</f>
        <v>16</v>
      </c>
      <c r="I130" s="57">
        <f>VLOOKUP(A130,本周期销售数据表!$A2:$O200,15,FALSE)</f>
        <v>30</v>
      </c>
      <c r="J130" s="71">
        <f t="shared" si="15"/>
        <v>0.875</v>
      </c>
      <c r="K130" s="57">
        <f>VLOOKUP(A130,本周期销售数据表!$A2:$L200,10,FALSE)</f>
        <v>316.7</v>
      </c>
      <c r="L130" s="57">
        <f>VLOOKUP(A130,本周期销售数据表!$A2:$L200,7,FALSE)</f>
        <v>0</v>
      </c>
      <c r="AC130" s="81">
        <f t="shared" si="18"/>
        <v>36</v>
      </c>
      <c r="AD130" s="81">
        <f t="shared" si="19"/>
        <v>-4</v>
      </c>
    </row>
    <row r="131" hidden="1" spans="1:30">
      <c r="A131" s="61">
        <v>67235</v>
      </c>
      <c r="B131" s="57" t="s">
        <v>170</v>
      </c>
      <c r="C131" s="83" t="s">
        <v>172</v>
      </c>
      <c r="D131" s="57" t="s">
        <v>36</v>
      </c>
      <c r="F131" s="57">
        <v>2</v>
      </c>
      <c r="G131" s="57">
        <f>VLOOKUP(A131,运维频率!A2:B299,2,FALSE)</f>
        <v>2</v>
      </c>
      <c r="H131" s="57">
        <f>VLOOKUP(A131,上周期销售数据表!$A2:$O200,15,FALSE)</f>
        <v>45</v>
      </c>
      <c r="I131" s="57">
        <f>VLOOKUP(A131,本周期销售数据表!$A2:$O200,15,FALSE)</f>
        <v>50</v>
      </c>
      <c r="J131" s="71">
        <f t="shared" si="15"/>
        <v>0.111111111111111</v>
      </c>
      <c r="K131" s="57">
        <f>VLOOKUP(A131,本周期销售数据表!$A2:$L200,10,FALSE)</f>
        <v>588.88</v>
      </c>
      <c r="L131" s="57">
        <f>VLOOKUP(A131,本周期销售数据表!$A2:$L200,7,FALSE)</f>
        <v>0</v>
      </c>
      <c r="AC131" s="81">
        <f t="shared" si="18"/>
        <v>65</v>
      </c>
      <c r="AD131" s="81">
        <f t="shared" si="19"/>
        <v>25</v>
      </c>
    </row>
    <row r="132" hidden="1" spans="1:30">
      <c r="A132" s="61">
        <v>68718</v>
      </c>
      <c r="B132" s="57" t="s">
        <v>170</v>
      </c>
      <c r="C132" s="83" t="s">
        <v>173</v>
      </c>
      <c r="D132" s="57" t="s">
        <v>36</v>
      </c>
      <c r="F132" s="57">
        <v>2</v>
      </c>
      <c r="G132" s="57">
        <f>VLOOKUP(A132,运维频率!A2:B299,2,FALSE)</f>
        <v>2</v>
      </c>
      <c r="H132" s="57">
        <f>VLOOKUP(A132,上周期销售数据表!$A2:$O200,15,FALSE)</f>
        <v>22</v>
      </c>
      <c r="I132" s="57">
        <f>VLOOKUP(A132,本周期销售数据表!$A2:$O200,15,FALSE)</f>
        <v>22</v>
      </c>
      <c r="J132" s="71">
        <f t="shared" si="15"/>
        <v>0</v>
      </c>
      <c r="K132" s="57">
        <f>VLOOKUP(A132,本周期销售数据表!$A2:$L200,10,FALSE)</f>
        <v>246.68</v>
      </c>
      <c r="L132" s="57">
        <f>VLOOKUP(A132,本周期销售数据表!$A2:$L200,7,FALSE)</f>
        <v>0</v>
      </c>
      <c r="AC132" s="81">
        <f t="shared" si="18"/>
        <v>42</v>
      </c>
      <c r="AD132" s="81">
        <f t="shared" si="19"/>
        <v>2</v>
      </c>
    </row>
    <row r="133" hidden="1" spans="1:30">
      <c r="A133" s="59">
        <v>57302</v>
      </c>
      <c r="B133" s="59" t="s">
        <v>57</v>
      </c>
      <c r="C133" s="65" t="s">
        <v>174</v>
      </c>
      <c r="D133" s="59" t="s">
        <v>29</v>
      </c>
      <c r="F133" s="57">
        <v>3</v>
      </c>
      <c r="G133" s="57">
        <f>VLOOKUP(A133,运维频率!A2:B299,2,FALSE)</f>
        <v>1</v>
      </c>
      <c r="H133" s="57">
        <f>VLOOKUP(A133,上周期销售数据表!$A2:$O200,15,FALSE)</f>
        <v>52</v>
      </c>
      <c r="I133" s="57">
        <f>VLOOKUP(A133,本周期销售数据表!$A2:$O200,15,FALSE)</f>
        <v>79</v>
      </c>
      <c r="J133" s="71">
        <f t="shared" si="15"/>
        <v>0.519230769230769</v>
      </c>
      <c r="K133" s="57">
        <f>VLOOKUP(A133,本周期销售数据表!$A2:$L200,10,FALSE)</f>
        <v>1249.4</v>
      </c>
      <c r="L133" s="57">
        <f>VLOOKUP(A133,本周期销售数据表!$A2:$L200,7,FALSE)</f>
        <v>1</v>
      </c>
      <c r="AC133" s="81">
        <f t="shared" si="18"/>
        <v>72</v>
      </c>
      <c r="AD133" s="81">
        <f t="shared" si="19"/>
        <v>32</v>
      </c>
    </row>
    <row r="134" hidden="1" spans="1:30">
      <c r="A134" s="61">
        <v>33516</v>
      </c>
      <c r="B134" s="59" t="s">
        <v>175</v>
      </c>
      <c r="C134" s="65" t="s">
        <v>176</v>
      </c>
      <c r="D134" s="64" t="s">
        <v>29</v>
      </c>
      <c r="F134" s="57">
        <v>2</v>
      </c>
      <c r="G134" s="57">
        <f>VLOOKUP(A134,运维频率!A2:B299,2,FALSE)</f>
        <v>1</v>
      </c>
      <c r="H134" s="57">
        <f>VLOOKUP(A134,上周期销售数据表!$A2:$O200,15,FALSE)</f>
        <v>4</v>
      </c>
      <c r="I134" s="57">
        <f>VLOOKUP(A134,本周期销售数据表!$A2:$O200,15,FALSE)</f>
        <v>8</v>
      </c>
      <c r="J134" s="71">
        <f t="shared" si="15"/>
        <v>1</v>
      </c>
      <c r="K134" s="57">
        <f>VLOOKUP(A134,本周期销售数据表!$A2:$L200,10,FALSE)</f>
        <v>38.1</v>
      </c>
      <c r="L134" s="57">
        <f>VLOOKUP(A134,本周期销售数据表!$A2:$L200,7,FALSE)</f>
        <v>0</v>
      </c>
      <c r="AC134" s="81">
        <f t="shared" si="18"/>
        <v>24</v>
      </c>
      <c r="AD134" s="81">
        <f t="shared" si="19"/>
        <v>-16</v>
      </c>
    </row>
    <row r="135" hidden="1" spans="1:30">
      <c r="A135" s="61">
        <v>19393</v>
      </c>
      <c r="B135" s="59" t="s">
        <v>175</v>
      </c>
      <c r="C135" s="65" t="s">
        <v>177</v>
      </c>
      <c r="D135" s="64" t="s">
        <v>29</v>
      </c>
      <c r="F135" s="57">
        <v>3</v>
      </c>
      <c r="G135" s="57">
        <f>VLOOKUP(A135,运维频率!A2:B299,2,FALSE)</f>
        <v>2</v>
      </c>
      <c r="H135" s="57">
        <f>VLOOKUP(A135,上周期销售数据表!$A2:$O200,15,FALSE)</f>
        <v>11</v>
      </c>
      <c r="I135" s="57">
        <f>VLOOKUP(A135,本周期销售数据表!$A2:$O200,15,FALSE)</f>
        <v>7</v>
      </c>
      <c r="J135" s="71">
        <f t="shared" si="15"/>
        <v>-0.363636363636364</v>
      </c>
      <c r="K135" s="57">
        <f>VLOOKUP(A135,本周期销售数据表!$A2:$L200,10,FALSE)</f>
        <v>31.5</v>
      </c>
      <c r="L135" s="57">
        <f>VLOOKUP(A135,本周期销售数据表!$A2:$L200,7,FALSE)</f>
        <v>0</v>
      </c>
      <c r="AC135" s="81">
        <f t="shared" si="18"/>
        <v>31</v>
      </c>
      <c r="AD135" s="81">
        <f t="shared" si="19"/>
        <v>-9</v>
      </c>
    </row>
    <row r="136" hidden="1" spans="1:30">
      <c r="A136" s="61">
        <v>22462</v>
      </c>
      <c r="B136" s="59" t="s">
        <v>175</v>
      </c>
      <c r="C136" s="65" t="s">
        <v>178</v>
      </c>
      <c r="D136" s="64" t="s">
        <v>29</v>
      </c>
      <c r="F136" s="57">
        <v>2</v>
      </c>
      <c r="G136" s="57">
        <f>VLOOKUP(A136,运维频率!A2:B299,2,FALSE)</f>
        <v>2</v>
      </c>
      <c r="H136" s="57">
        <f>VLOOKUP(A136,上周期销售数据表!$A2:$O200,15,FALSE)</f>
        <v>15</v>
      </c>
      <c r="I136" s="57">
        <f>VLOOKUP(A136,本周期销售数据表!$A2:$O200,15,FALSE)</f>
        <v>17</v>
      </c>
      <c r="J136" s="71">
        <f t="shared" si="15"/>
        <v>0.133333333333333</v>
      </c>
      <c r="K136" s="57">
        <f>VLOOKUP(A136,本周期销售数据表!$A2:$L200,10,FALSE)</f>
        <v>75.85</v>
      </c>
      <c r="L136" s="57">
        <f>VLOOKUP(A136,本周期销售数据表!$A2:$L200,7,FALSE)</f>
        <v>0</v>
      </c>
      <c r="AC136" s="81">
        <f t="shared" si="18"/>
        <v>35</v>
      </c>
      <c r="AD136" s="81">
        <f t="shared" si="19"/>
        <v>-5</v>
      </c>
    </row>
    <row r="137" hidden="1" spans="1:30">
      <c r="A137" s="61">
        <v>33524</v>
      </c>
      <c r="B137" s="59" t="s">
        <v>179</v>
      </c>
      <c r="C137" s="65" t="s">
        <v>180</v>
      </c>
      <c r="D137" s="57" t="s">
        <v>36</v>
      </c>
      <c r="F137" s="57">
        <v>2</v>
      </c>
      <c r="G137" s="57">
        <f>VLOOKUP(A137,运维频率!A2:B299,2,FALSE)</f>
        <v>2</v>
      </c>
      <c r="H137" s="57">
        <f>VLOOKUP(A137,上周期销售数据表!$A2:$O200,15,FALSE)</f>
        <v>32</v>
      </c>
      <c r="I137" s="57">
        <f>VLOOKUP(A137,本周期销售数据表!$A2:$O200,15,FALSE)</f>
        <v>31</v>
      </c>
      <c r="J137" s="71">
        <f t="shared" si="15"/>
        <v>-0.03125</v>
      </c>
      <c r="K137" s="57">
        <f>VLOOKUP(A137,本周期销售数据表!$A2:$L200,10,FALSE)</f>
        <v>203.5</v>
      </c>
      <c r="L137" s="57">
        <f>VLOOKUP(A137,本周期销售数据表!$A2:$L200,7,FALSE)</f>
        <v>3</v>
      </c>
      <c r="AC137" s="81">
        <f t="shared" si="18"/>
        <v>52</v>
      </c>
      <c r="AD137" s="81">
        <f t="shared" si="19"/>
        <v>12</v>
      </c>
    </row>
    <row r="138" hidden="1" spans="1:30">
      <c r="A138" s="61">
        <v>68719</v>
      </c>
      <c r="B138" s="59" t="s">
        <v>181</v>
      </c>
      <c r="C138" s="58" t="s">
        <v>182</v>
      </c>
      <c r="D138" s="57" t="s">
        <v>36</v>
      </c>
      <c r="F138" s="57">
        <v>3</v>
      </c>
      <c r="G138" s="57">
        <f>VLOOKUP(A138,运维频率!A2:B299,2,FALSE)</f>
        <v>2</v>
      </c>
      <c r="H138" s="57">
        <f>VLOOKUP(A138,上周期销售数据表!$A2:$O200,15,FALSE)</f>
        <v>55</v>
      </c>
      <c r="I138" s="57">
        <f>VLOOKUP(A138,本周期销售数据表!$A2:$O200,15,FALSE)</f>
        <v>64</v>
      </c>
      <c r="J138" s="71">
        <f t="shared" ref="J138:J179" si="20">(I138-H138)/H138*100%</f>
        <v>0.163636363636364</v>
      </c>
      <c r="K138" s="57">
        <f>VLOOKUP(A138,本周期销售数据表!$A2:$L200,10,FALSE)</f>
        <v>192</v>
      </c>
      <c r="L138" s="57">
        <f>VLOOKUP(A138,本周期销售数据表!$A2:$L200,7,FALSE)</f>
        <v>2</v>
      </c>
      <c r="AC138" s="81">
        <f t="shared" si="18"/>
        <v>75</v>
      </c>
      <c r="AD138" s="81">
        <f t="shared" si="19"/>
        <v>35</v>
      </c>
    </row>
    <row r="139" hidden="1" spans="1:30">
      <c r="A139" s="57">
        <v>52338</v>
      </c>
      <c r="B139" s="59" t="s">
        <v>117</v>
      </c>
      <c r="C139" s="60" t="s">
        <v>183</v>
      </c>
      <c r="D139" s="57" t="s">
        <v>29</v>
      </c>
      <c r="F139" s="57">
        <v>2</v>
      </c>
      <c r="G139" s="57">
        <f>VLOOKUP(A139,运维频率!A2:B299,2,FALSE)</f>
        <v>1</v>
      </c>
      <c r="H139" s="57">
        <f>VLOOKUP(A139,上周期销售数据表!$A2:$O200,15,FALSE)</f>
        <v>61</v>
      </c>
      <c r="I139" s="57">
        <f>VLOOKUP(A139,本周期销售数据表!$A2:$O200,15,FALSE)</f>
        <v>37</v>
      </c>
      <c r="J139" s="71">
        <f t="shared" si="20"/>
        <v>-0.39344262295082</v>
      </c>
      <c r="K139" s="57">
        <f>VLOOKUP(A139,本周期销售数据表!$A2:$L200,10,FALSE)</f>
        <v>530.5</v>
      </c>
      <c r="L139" s="57">
        <f>VLOOKUP(A139,本周期销售数据表!$A2:$L200,7,FALSE)</f>
        <v>1</v>
      </c>
      <c r="AC139" s="81">
        <f t="shared" si="18"/>
        <v>81</v>
      </c>
      <c r="AD139" s="81">
        <f t="shared" si="19"/>
        <v>41</v>
      </c>
    </row>
    <row r="140" hidden="1" spans="1:30">
      <c r="A140" s="59">
        <v>66331</v>
      </c>
      <c r="B140" s="59" t="s">
        <v>57</v>
      </c>
      <c r="C140" s="65" t="s">
        <v>184</v>
      </c>
      <c r="D140" s="57" t="s">
        <v>29</v>
      </c>
      <c r="F140" s="57">
        <v>2</v>
      </c>
      <c r="G140" s="57">
        <f>VLOOKUP(A140,运维频率!A2:B299,2,FALSE)</f>
        <v>2</v>
      </c>
      <c r="H140" s="57">
        <f>VLOOKUP(A140,上周期销售数据表!$A2:$O200,15,FALSE)</f>
        <v>195</v>
      </c>
      <c r="I140" s="57">
        <f>VLOOKUP(A140,本周期销售数据表!$A2:$O200,15,FALSE)</f>
        <v>60</v>
      </c>
      <c r="J140" s="71">
        <f t="shared" si="20"/>
        <v>-0.692307692307692</v>
      </c>
      <c r="K140" s="57">
        <f>VLOOKUP(A140,本周期销售数据表!$A2:$L200,10,FALSE)</f>
        <v>917.9</v>
      </c>
      <c r="L140" s="57">
        <f>VLOOKUP(A140,本周期销售数据表!$A2:$L200,7,FALSE)</f>
        <v>0</v>
      </c>
      <c r="AC140" s="81">
        <f t="shared" si="18"/>
        <v>215</v>
      </c>
      <c r="AD140" s="81">
        <f t="shared" si="19"/>
        <v>175</v>
      </c>
    </row>
    <row r="141" hidden="1" spans="1:30">
      <c r="A141" s="59">
        <v>54632</v>
      </c>
      <c r="B141" s="57" t="s">
        <v>91</v>
      </c>
      <c r="C141" s="62" t="s">
        <v>185</v>
      </c>
      <c r="D141" s="59" t="s">
        <v>36</v>
      </c>
      <c r="F141" s="57">
        <v>3</v>
      </c>
      <c r="G141" s="57">
        <f>VLOOKUP(A141,运维频率!A2:B299,2,FALSE)</f>
        <v>2</v>
      </c>
      <c r="H141" s="57">
        <f>VLOOKUP(A141,上周期销售数据表!$A2:$O200,15,FALSE)</f>
        <v>63</v>
      </c>
      <c r="I141" s="57">
        <f>VLOOKUP(A141,本周期销售数据表!$A2:$O200,15,FALSE)</f>
        <v>5</v>
      </c>
      <c r="J141" s="71">
        <f t="shared" si="20"/>
        <v>-0.920634920634921</v>
      </c>
      <c r="K141" s="57">
        <f>VLOOKUP(A141,本周期销售数据表!$A2:$L200,10,FALSE)</f>
        <v>69</v>
      </c>
      <c r="L141" s="57">
        <f>VLOOKUP(A141,本周期销售数据表!$A2:$L200,7,FALSE)</f>
        <v>0</v>
      </c>
      <c r="AC141" s="81">
        <f t="shared" si="18"/>
        <v>83</v>
      </c>
      <c r="AD141" s="81">
        <f t="shared" si="19"/>
        <v>43</v>
      </c>
    </row>
    <row r="142" hidden="1" spans="1:30">
      <c r="A142" s="59">
        <v>79339</v>
      </c>
      <c r="B142" s="59" t="s">
        <v>162</v>
      </c>
      <c r="C142" s="65" t="s">
        <v>186</v>
      </c>
      <c r="D142" s="57" t="s">
        <v>36</v>
      </c>
      <c r="F142" s="57">
        <v>2</v>
      </c>
      <c r="G142" s="57">
        <f>VLOOKUP(A142,运维频率!A2:B300,2,FALSE)</f>
        <v>2</v>
      </c>
      <c r="H142" s="57">
        <f>VLOOKUP(A142,上周期销售数据表!$A2:$O200,15,FALSE)</f>
        <v>14</v>
      </c>
      <c r="I142" s="57">
        <f>VLOOKUP(A142,本周期销售数据表!$A2:$O200,15,FALSE)</f>
        <v>20</v>
      </c>
      <c r="J142" s="71">
        <f t="shared" si="20"/>
        <v>0.428571428571429</v>
      </c>
      <c r="K142" s="57">
        <f>VLOOKUP(A142,本周期销售数据表!$A2:$L200,10,FALSE)</f>
        <v>209.5</v>
      </c>
      <c r="L142" s="57">
        <f>VLOOKUP(A142,本周期销售数据表!$A2:$L200,7,FALSE)</f>
        <v>0</v>
      </c>
      <c r="AC142" s="81">
        <f t="shared" si="18"/>
        <v>34</v>
      </c>
      <c r="AD142" s="81">
        <f t="shared" si="19"/>
        <v>-6</v>
      </c>
    </row>
    <row r="143" hidden="1" spans="1:30">
      <c r="A143" s="59">
        <v>53058</v>
      </c>
      <c r="B143" s="59" t="s">
        <v>91</v>
      </c>
      <c r="C143" s="65" t="s">
        <v>187</v>
      </c>
      <c r="D143" s="59" t="s">
        <v>36</v>
      </c>
      <c r="F143" s="57">
        <v>2</v>
      </c>
      <c r="G143" s="57">
        <f>VLOOKUP(A143,运维频率!A2:B300,2,FALSE)</f>
        <v>2</v>
      </c>
      <c r="H143" s="57">
        <f>VLOOKUP(A143,上周期销售数据表!$A2:$O201,15,FALSE)</f>
        <v>105</v>
      </c>
      <c r="I143" s="57">
        <f>VLOOKUP(A143,本周期销售数据表!$A2:$O200,15,FALSE)</f>
        <v>63</v>
      </c>
      <c r="J143" s="71">
        <f t="shared" si="20"/>
        <v>-0.4</v>
      </c>
      <c r="K143" s="57">
        <f>VLOOKUP(A143,本周期销售数据表!$A2:$L200,10,FALSE)</f>
        <v>999.1</v>
      </c>
      <c r="L143" s="57">
        <f>VLOOKUP(A143,本周期销售数据表!$A2:$L200,7,FALSE)</f>
        <v>2</v>
      </c>
      <c r="AC143" s="81">
        <f t="shared" si="18"/>
        <v>125</v>
      </c>
      <c r="AD143" s="81">
        <f t="shared" si="19"/>
        <v>85</v>
      </c>
    </row>
    <row r="144" hidden="1" spans="1:12">
      <c r="A144" s="59">
        <v>53254</v>
      </c>
      <c r="B144" s="59" t="s">
        <v>91</v>
      </c>
      <c r="C144" s="65" t="s">
        <v>188</v>
      </c>
      <c r="D144" s="59" t="s">
        <v>36</v>
      </c>
      <c r="F144" s="57">
        <v>1</v>
      </c>
      <c r="G144" s="57">
        <f>VLOOKUP(A144,运维频率!A2:B302,2,FALSE)</f>
        <v>2</v>
      </c>
      <c r="H144" s="57">
        <f>VLOOKUP(A144,上周期销售数据表!$A2:$O202,15,FALSE)</f>
        <v>88</v>
      </c>
      <c r="I144" s="57">
        <f>VLOOKUP(A144,本周期销售数据表!$A2:$O200,15,FALSE)</f>
        <v>121</v>
      </c>
      <c r="J144" s="71">
        <f t="shared" si="20"/>
        <v>0.375</v>
      </c>
      <c r="K144" s="57">
        <f>VLOOKUP(A144,本周期销售数据表!$A2:$L200,10,FALSE)</f>
        <v>1872.5</v>
      </c>
      <c r="L144" s="57">
        <f>VLOOKUP(A144,本周期销售数据表!$A2:$L200,7,FALSE)</f>
        <v>3</v>
      </c>
    </row>
    <row r="145" spans="1:12">
      <c r="A145" s="59">
        <v>100103</v>
      </c>
      <c r="B145" s="59" t="s">
        <v>20</v>
      </c>
      <c r="C145" s="65" t="s">
        <v>189</v>
      </c>
      <c r="D145" s="57" t="s">
        <v>22</v>
      </c>
      <c r="F145" s="57">
        <v>0</v>
      </c>
      <c r="G145" s="57">
        <f>VLOOKUP(A145,运维频率!A2:B303,2,FALSE)</f>
        <v>0</v>
      </c>
      <c r="H145" s="57">
        <f>VLOOKUP(A145,上周期销售数据表!$A2:$O203,15,FALSE)</f>
        <v>13</v>
      </c>
      <c r="I145" s="57">
        <f>VLOOKUP(A145,本周期销售数据表!$A2:$O201,15,FALSE)</f>
        <v>33</v>
      </c>
      <c r="J145" s="71">
        <f t="shared" si="20"/>
        <v>1.53846153846154</v>
      </c>
      <c r="K145" s="57">
        <f>VLOOKUP(A145,本周期销售数据表!$A2:$L201,10,FALSE)</f>
        <v>166</v>
      </c>
      <c r="L145" s="57">
        <f>VLOOKUP(A145,本周期销售数据表!$A2:$L201,7,FALSE)</f>
        <v>0</v>
      </c>
    </row>
    <row r="146" hidden="1" spans="1:12">
      <c r="A146" s="59">
        <v>68714</v>
      </c>
      <c r="B146" s="59" t="s">
        <v>91</v>
      </c>
      <c r="C146" s="65" t="s">
        <v>190</v>
      </c>
      <c r="D146" s="59" t="s">
        <v>36</v>
      </c>
      <c r="F146" s="57">
        <v>2</v>
      </c>
      <c r="G146" s="57">
        <f>VLOOKUP(A146,运维频率!A2:B304,2,FALSE)</f>
        <v>2</v>
      </c>
      <c r="H146" s="57">
        <f>VLOOKUP(A146,上周期销售数据表!$A2:$O204,15,FALSE)</f>
        <v>101</v>
      </c>
      <c r="I146" s="57">
        <f>VLOOKUP(A146,本周期销售数据表!$A2:$O202,15,FALSE)</f>
        <v>40</v>
      </c>
      <c r="J146" s="71">
        <f t="shared" si="20"/>
        <v>-0.603960396039604</v>
      </c>
      <c r="K146" s="57">
        <f>VLOOKUP(A146,本周期销售数据表!$A2:$L202,10,FALSE)</f>
        <v>602.7</v>
      </c>
      <c r="L146" s="57">
        <f>VLOOKUP(A146,本周期销售数据表!$A2:$L202,7,FALSE)</f>
        <v>1</v>
      </c>
    </row>
    <row r="147" hidden="1" spans="1:12">
      <c r="A147" s="59">
        <v>68716</v>
      </c>
      <c r="B147" s="59" t="s">
        <v>91</v>
      </c>
      <c r="C147" s="65" t="s">
        <v>191</v>
      </c>
      <c r="D147" s="59" t="s">
        <v>36</v>
      </c>
      <c r="F147" s="57">
        <v>2</v>
      </c>
      <c r="G147" s="57">
        <f>VLOOKUP(A147,运维频率!A2:B305,2,FALSE)</f>
        <v>2</v>
      </c>
      <c r="H147" s="57">
        <f>VLOOKUP(A147,上周期销售数据表!$A2:$O205,15,FALSE)</f>
        <v>50</v>
      </c>
      <c r="I147" s="57">
        <f>VLOOKUP(A147,本周期销售数据表!$A2:$O203,15,FALSE)</f>
        <v>31</v>
      </c>
      <c r="J147" s="71">
        <f t="shared" si="20"/>
        <v>-0.38</v>
      </c>
      <c r="K147" s="57">
        <f>VLOOKUP(A147,本周期销售数据表!$A2:$L203,10,FALSE)</f>
        <v>457.7</v>
      </c>
      <c r="L147" s="57">
        <f>VLOOKUP(A147,本周期销售数据表!$A2:$L203,7,FALSE)</f>
        <v>1</v>
      </c>
    </row>
    <row r="148" hidden="1" spans="1:12">
      <c r="A148" s="59">
        <v>22220</v>
      </c>
      <c r="B148" s="59" t="s">
        <v>20</v>
      </c>
      <c r="C148" s="65" t="s">
        <v>192</v>
      </c>
      <c r="D148" s="64" t="s">
        <v>29</v>
      </c>
      <c r="F148" s="57">
        <v>0</v>
      </c>
      <c r="G148" s="57">
        <f>VLOOKUP(A148,运维频率!A2:B307,2,FALSE)</f>
        <v>0</v>
      </c>
      <c r="H148" s="57">
        <f>VLOOKUP(A148,上周期销售数据表!$A2:$O207,15,FALSE)</f>
        <v>223</v>
      </c>
      <c r="I148" s="57">
        <f>VLOOKUP(A148,本周期销售数据表!$A2:$O205,15,FALSE)</f>
        <v>66</v>
      </c>
      <c r="J148" s="71">
        <f t="shared" si="20"/>
        <v>-0.704035874439462</v>
      </c>
      <c r="K148" s="57">
        <f>VLOOKUP(A148,本周期销售数据表!$A2:$L205,10,FALSE)</f>
        <v>959.9</v>
      </c>
      <c r="L148" s="57">
        <f>VLOOKUP(A148,本周期销售数据表!$A2:$L205,7,FALSE)</f>
        <v>0</v>
      </c>
    </row>
    <row r="149" hidden="1" spans="1:12">
      <c r="A149" s="59">
        <v>23396</v>
      </c>
      <c r="B149" s="59" t="s">
        <v>20</v>
      </c>
      <c r="C149" s="65" t="s">
        <v>193</v>
      </c>
      <c r="D149" s="64" t="s">
        <v>29</v>
      </c>
      <c r="F149" s="57">
        <v>0</v>
      </c>
      <c r="G149" s="57">
        <f>VLOOKUP(A149,运维频率!A2:B308,2,FALSE)</f>
        <v>0</v>
      </c>
      <c r="H149" s="57">
        <f>VLOOKUP(A149,上周期销售数据表!$A2:$O208,15,FALSE)</f>
        <v>82</v>
      </c>
      <c r="I149" s="57">
        <f>VLOOKUP(A149,本周期销售数据表!$A2:$O206,15,FALSE)</f>
        <v>68</v>
      </c>
      <c r="J149" s="71">
        <f t="shared" si="20"/>
        <v>-0.170731707317073</v>
      </c>
      <c r="K149" s="57">
        <f>VLOOKUP(A149,本周期销售数据表!$A2:$L206,10,FALSE)</f>
        <v>996.1</v>
      </c>
      <c r="L149" s="57">
        <f>VLOOKUP(A149,本周期销售数据表!$A2:$L206,7,FALSE)</f>
        <v>0</v>
      </c>
    </row>
    <row r="150" hidden="1" spans="1:12">
      <c r="A150" s="59">
        <v>79338</v>
      </c>
      <c r="B150" s="59" t="s">
        <v>162</v>
      </c>
      <c r="C150" s="65" t="s">
        <v>194</v>
      </c>
      <c r="D150" s="57" t="s">
        <v>36</v>
      </c>
      <c r="F150" s="57">
        <v>2</v>
      </c>
      <c r="G150" s="57">
        <f>VLOOKUP(A150,运维频率!A2:B309,2,FALSE)</f>
        <v>2</v>
      </c>
      <c r="H150" s="57">
        <f>VLOOKUP(A150,上周期销售数据表!$A2:$O209,15,FALSE)</f>
        <v>21</v>
      </c>
      <c r="I150" s="57">
        <f>VLOOKUP(A150,本周期销售数据表!$A2:$O207,15,FALSE)</f>
        <v>16</v>
      </c>
      <c r="J150" s="71">
        <f t="shared" si="20"/>
        <v>-0.238095238095238</v>
      </c>
      <c r="K150" s="57">
        <f>VLOOKUP(A150,本周期销售数据表!$A2:$L207,10,FALSE)</f>
        <v>151.5</v>
      </c>
      <c r="L150" s="57">
        <f>VLOOKUP(A150,本周期销售数据表!$A2:$L207,7,FALSE)</f>
        <v>4</v>
      </c>
    </row>
    <row r="151" s="54" customFormat="1" hidden="1" spans="1:30">
      <c r="A151" s="66">
        <v>33431</v>
      </c>
      <c r="B151" s="66" t="s">
        <v>162</v>
      </c>
      <c r="C151" s="84" t="s">
        <v>195</v>
      </c>
      <c r="D151" s="67" t="s">
        <v>36</v>
      </c>
      <c r="F151" s="67">
        <v>0</v>
      </c>
      <c r="G151" s="67">
        <f>VLOOKUP(A151,运维频率!A2:B310,2,FALSE)</f>
        <v>0</v>
      </c>
      <c r="H151" s="67" t="e">
        <f>VLOOKUP(A151,上周期销售数据表!$A2:$O210,15,FALSE)</f>
        <v>#N/A</v>
      </c>
      <c r="I151" s="67" t="e">
        <f>VLOOKUP(A151,本周期销售数据表!$A2:$O208,15,FALSE)</f>
        <v>#N/A</v>
      </c>
      <c r="J151" s="77" t="e">
        <f t="shared" si="20"/>
        <v>#N/A</v>
      </c>
      <c r="K151" s="67" t="e">
        <f>VLOOKUP(A151,本周期销售数据表!$A2:$L208,10,FALSE)</f>
        <v>#N/A</v>
      </c>
      <c r="L151" s="67" t="e">
        <f>VLOOKUP(A151,本周期销售数据表!$A2:$L208,7,FALSE)</f>
        <v>#N/A</v>
      </c>
      <c r="O151" s="86"/>
      <c r="AC151" s="82"/>
      <c r="AD151" s="82"/>
    </row>
    <row r="152" hidden="1" spans="1:12">
      <c r="A152" s="59">
        <v>33280</v>
      </c>
      <c r="B152" s="59" t="s">
        <v>162</v>
      </c>
      <c r="C152" s="60" t="s">
        <v>196</v>
      </c>
      <c r="D152" s="57" t="s">
        <v>36</v>
      </c>
      <c r="F152" s="57">
        <v>2</v>
      </c>
      <c r="G152" s="57">
        <f>VLOOKUP(A152,运维频率!A2:B311,2,FALSE)</f>
        <v>2</v>
      </c>
      <c r="H152" s="57">
        <f>VLOOKUP(A152,上周期销售数据表!$A2:$O211,15,FALSE)</f>
        <v>8</v>
      </c>
      <c r="I152" s="57">
        <f>VLOOKUP(A152,本周期销售数据表!$A2:$O209,15,FALSE)</f>
        <v>25</v>
      </c>
      <c r="J152" s="71">
        <f t="shared" si="20"/>
        <v>2.125</v>
      </c>
      <c r="K152" s="57">
        <f>VLOOKUP(A152,本周期销售数据表!$A2:$L209,10,FALSE)</f>
        <v>208.8</v>
      </c>
      <c r="L152" s="57">
        <f>VLOOKUP(A152,本周期销售数据表!$A2:$L209,7,FALSE)</f>
        <v>2</v>
      </c>
    </row>
    <row r="153" hidden="1" spans="1:12">
      <c r="A153" s="59">
        <v>33689</v>
      </c>
      <c r="B153" s="59" t="s">
        <v>91</v>
      </c>
      <c r="C153" s="65" t="s">
        <v>197</v>
      </c>
      <c r="D153" s="59" t="s">
        <v>36</v>
      </c>
      <c r="F153" s="57">
        <v>2</v>
      </c>
      <c r="G153" s="57">
        <f>VLOOKUP(A153,运维频率!A2:B312,2,FALSE)</f>
        <v>2</v>
      </c>
      <c r="H153" s="57">
        <f>VLOOKUP(A153,上周期销售数据表!$A2:$O212,15,FALSE)</f>
        <v>37</v>
      </c>
      <c r="I153" s="57">
        <f>VLOOKUP(A153,本周期销售数据表!$A2:$O210,15,FALSE)</f>
        <v>24</v>
      </c>
      <c r="J153" s="71">
        <f t="shared" si="20"/>
        <v>-0.351351351351351</v>
      </c>
      <c r="K153" s="57">
        <f>VLOOKUP(A153,本周期销售数据表!$A2:$L210,10,FALSE)</f>
        <v>331.7</v>
      </c>
      <c r="L153" s="57">
        <f>VLOOKUP(A153,本周期销售数据表!$A2:$L210,7,FALSE)</f>
        <v>5</v>
      </c>
    </row>
    <row r="154" hidden="1" spans="1:12">
      <c r="A154" s="59">
        <v>33691</v>
      </c>
      <c r="B154" s="59" t="s">
        <v>91</v>
      </c>
      <c r="C154" s="65" t="s">
        <v>198</v>
      </c>
      <c r="D154" s="59" t="s">
        <v>36</v>
      </c>
      <c r="F154" s="57">
        <v>2</v>
      </c>
      <c r="G154" s="57">
        <f>VLOOKUP(A154,运维频率!A2:B313,2,FALSE)</f>
        <v>2</v>
      </c>
      <c r="H154" s="57">
        <f>VLOOKUP(A154,上周期销售数据表!$A2:$O213,15,FALSE)</f>
        <v>23</v>
      </c>
      <c r="I154" s="57">
        <f>VLOOKUP(A154,本周期销售数据表!$A2:$O211,15,FALSE)</f>
        <v>41</v>
      </c>
      <c r="J154" s="71">
        <f t="shared" si="20"/>
        <v>0.782608695652174</v>
      </c>
      <c r="K154" s="57">
        <f>VLOOKUP(A154,本周期销售数据表!$A2:$L211,10,FALSE)</f>
        <v>573.7</v>
      </c>
      <c r="L154" s="57">
        <f>VLOOKUP(A154,本周期销售数据表!$A2:$L211,7,FALSE)</f>
        <v>0</v>
      </c>
    </row>
    <row r="155" hidden="1" spans="1:12">
      <c r="A155" s="59">
        <v>33522</v>
      </c>
      <c r="B155" s="59" t="s">
        <v>175</v>
      </c>
      <c r="C155" s="65" t="s">
        <v>199</v>
      </c>
      <c r="D155" s="64" t="s">
        <v>29</v>
      </c>
      <c r="F155" s="57">
        <v>2</v>
      </c>
      <c r="G155" s="57">
        <f>VLOOKUP(A155,运维频率!A2:B314,2,FALSE)</f>
        <v>2</v>
      </c>
      <c r="H155" s="57">
        <f>VLOOKUP(A155,上周期销售数据表!$A2:$O214,15,FALSE)</f>
        <v>16</v>
      </c>
      <c r="I155" s="57">
        <f>VLOOKUP(A155,本周期销售数据表!$A2:$O212,15,FALSE)</f>
        <v>11</v>
      </c>
      <c r="J155" s="71">
        <f t="shared" si="20"/>
        <v>-0.3125</v>
      </c>
      <c r="K155" s="57">
        <f>VLOOKUP(A155,本周期销售数据表!$A2:$L212,10,FALSE)</f>
        <v>111.2</v>
      </c>
      <c r="L155" s="57">
        <f>VLOOKUP(A155,本周期销售数据表!$A2:$L212,7,FALSE)</f>
        <v>0</v>
      </c>
    </row>
    <row r="156" spans="1:12">
      <c r="A156" s="59">
        <v>20904</v>
      </c>
      <c r="B156" s="59" t="s">
        <v>20</v>
      </c>
      <c r="C156" s="65" t="s">
        <v>200</v>
      </c>
      <c r="D156" s="57" t="s">
        <v>22</v>
      </c>
      <c r="F156" s="57">
        <v>1</v>
      </c>
      <c r="G156" s="57">
        <f>VLOOKUP(A156,运维频率!A2:B315,2,FALSE)</f>
        <v>1</v>
      </c>
      <c r="H156" s="57">
        <f>VLOOKUP(A156,上周期销售数据表!$A2:$O215,15,FALSE)</f>
        <v>20</v>
      </c>
      <c r="I156" s="57">
        <f>VLOOKUP(A156,本周期销售数据表!$A2:$O213,15,FALSE)</f>
        <v>28</v>
      </c>
      <c r="J156" s="71">
        <f t="shared" si="20"/>
        <v>0.4</v>
      </c>
      <c r="K156" s="57">
        <f>VLOOKUP(A156,本周期销售数据表!$A2:$L213,10,FALSE)</f>
        <v>124.85</v>
      </c>
      <c r="L156" s="57">
        <f>VLOOKUP(A156,本周期销售数据表!$A2:$L213,7,FALSE)</f>
        <v>2</v>
      </c>
    </row>
    <row r="157" hidden="1" spans="1:12">
      <c r="A157" s="59">
        <v>75412</v>
      </c>
      <c r="B157" s="59" t="s">
        <v>57</v>
      </c>
      <c r="C157" s="60" t="s">
        <v>201</v>
      </c>
      <c r="D157" s="64" t="s">
        <v>29</v>
      </c>
      <c r="F157" s="57">
        <v>0</v>
      </c>
      <c r="G157" s="57">
        <f>VLOOKUP(A157,运维频率!A2:B316,2,FALSE)</f>
        <v>1</v>
      </c>
      <c r="H157" s="57">
        <f>VLOOKUP(A157,上周期销售数据表!$A2:$O216,15,FALSE)</f>
        <v>36</v>
      </c>
      <c r="I157" s="57">
        <f>VLOOKUP(A157,本周期销售数据表!$A2:$O214,15,FALSE)</f>
        <v>35</v>
      </c>
      <c r="J157" s="71">
        <f t="shared" si="20"/>
        <v>-0.0277777777777778</v>
      </c>
      <c r="K157" s="57">
        <f>VLOOKUP(A157,本周期销售数据表!$A2:$L214,10,FALSE)</f>
        <v>540</v>
      </c>
      <c r="L157" s="57">
        <f>VLOOKUP(A157,本周期销售数据表!$A2:$L214,7,FALSE)</f>
        <v>2</v>
      </c>
    </row>
    <row r="158" hidden="1" spans="1:12">
      <c r="A158" s="59">
        <v>85127</v>
      </c>
      <c r="B158" s="59" t="s">
        <v>57</v>
      </c>
      <c r="C158" s="60" t="s">
        <v>202</v>
      </c>
      <c r="D158" s="64" t="s">
        <v>29</v>
      </c>
      <c r="F158" s="57">
        <v>1</v>
      </c>
      <c r="G158" s="57">
        <f>VLOOKUP(A158,运维频率!A2:B317,2,FALSE)</f>
        <v>2</v>
      </c>
      <c r="H158" s="57">
        <f>VLOOKUP(A158,上周期销售数据表!$A2:$O217,15,FALSE)</f>
        <v>65</v>
      </c>
      <c r="I158" s="57">
        <f>VLOOKUP(A158,本周期销售数据表!$A2:$O215,15,FALSE)</f>
        <v>36</v>
      </c>
      <c r="J158" s="71">
        <f t="shared" si="20"/>
        <v>-0.446153846153846</v>
      </c>
      <c r="K158" s="57">
        <f>VLOOKUP(A158,本周期销售数据表!$A2:$L215,10,FALSE)</f>
        <v>483.2</v>
      </c>
      <c r="L158" s="57">
        <f>VLOOKUP(A158,本周期销售数据表!$A2:$L215,7,FALSE)</f>
        <v>0</v>
      </c>
    </row>
    <row r="159" spans="1:12">
      <c r="A159" s="59">
        <v>163631</v>
      </c>
      <c r="B159" s="59" t="s">
        <v>20</v>
      </c>
      <c r="C159" s="60" t="s">
        <v>203</v>
      </c>
      <c r="D159" s="57" t="s">
        <v>22</v>
      </c>
      <c r="F159" s="57">
        <v>0</v>
      </c>
      <c r="G159" s="57">
        <f>VLOOKUP(A159,运维频率!A2:B318,2,FALSE)</f>
        <v>0</v>
      </c>
      <c r="H159" s="57">
        <f>VLOOKUP(A159,上周期销售数据表!$A2:$O218,15,FALSE)</f>
        <v>18</v>
      </c>
      <c r="I159" s="57">
        <f>VLOOKUP(A159,本周期销售数据表!$A3:$O216,15,FALSE)</f>
        <v>31</v>
      </c>
      <c r="J159" s="71">
        <f t="shared" si="20"/>
        <v>0.722222222222222</v>
      </c>
      <c r="K159" s="57">
        <f>VLOOKUP(A159,本周期销售数据表!$A3:$L216,10,FALSE)</f>
        <v>168</v>
      </c>
      <c r="L159" s="57">
        <f>VLOOKUP(A159,本周期销售数据表!$A3:$L216,7,FALSE)</f>
        <v>0</v>
      </c>
    </row>
    <row r="160" spans="1:12">
      <c r="A160" s="59">
        <v>26698</v>
      </c>
      <c r="B160" s="59" t="s">
        <v>20</v>
      </c>
      <c r="C160" s="60" t="s">
        <v>204</v>
      </c>
      <c r="D160" s="57" t="s">
        <v>22</v>
      </c>
      <c r="F160" s="57">
        <v>2</v>
      </c>
      <c r="G160" s="57">
        <f>VLOOKUP(A160,运维频率!A2:B319,2,FALSE)</f>
        <v>3</v>
      </c>
      <c r="H160" s="57">
        <f>VLOOKUP(A160,上周期销售数据表!$A2:$O219,15,FALSE)</f>
        <v>49</v>
      </c>
      <c r="I160" s="57">
        <f>VLOOKUP(A160,本周期销售数据表!$A4:$O217,15,FALSE)</f>
        <v>60</v>
      </c>
      <c r="J160" s="71">
        <f t="shared" si="20"/>
        <v>0.224489795918367</v>
      </c>
      <c r="K160" s="57">
        <f>VLOOKUP(A160,本周期销售数据表!$A4:$L217,10,FALSE)</f>
        <v>476</v>
      </c>
      <c r="L160" s="57">
        <f>VLOOKUP(A160,本周期销售数据表!$A4:$L217,7,FALSE)</f>
        <v>2</v>
      </c>
    </row>
    <row r="161" hidden="1" spans="1:12">
      <c r="A161" s="59">
        <v>62547</v>
      </c>
      <c r="B161" s="59" t="s">
        <v>91</v>
      </c>
      <c r="C161" s="60" t="s">
        <v>205</v>
      </c>
      <c r="D161" s="59" t="s">
        <v>36</v>
      </c>
      <c r="F161" s="57">
        <v>2</v>
      </c>
      <c r="G161" s="57">
        <f>VLOOKUP(A161,运维频率!A2:B321,2,FALSE)</f>
        <v>2</v>
      </c>
      <c r="H161" s="57">
        <f>VLOOKUP(A161,上周期销售数据表!$A2:$O221,15,FALSE)</f>
        <v>33</v>
      </c>
      <c r="I161" s="57">
        <f>VLOOKUP(A161,本周期销售数据表!$A2:$O219,15,FALSE)</f>
        <v>37</v>
      </c>
      <c r="J161" s="71">
        <f t="shared" si="20"/>
        <v>0.121212121212121</v>
      </c>
      <c r="K161" s="57">
        <f>VLOOKUP(A161,本周期销售数据表!$A2:$L219,10,FALSE)</f>
        <v>588.9</v>
      </c>
      <c r="L161" s="57">
        <f>VLOOKUP(A161,本周期销售数据表!$A2:$L219,7,FALSE)</f>
        <v>0</v>
      </c>
    </row>
    <row r="162" hidden="1" spans="1:12">
      <c r="A162" s="59">
        <v>66129</v>
      </c>
      <c r="B162" s="59" t="s">
        <v>91</v>
      </c>
      <c r="C162" s="60" t="s">
        <v>206</v>
      </c>
      <c r="D162" s="59" t="s">
        <v>36</v>
      </c>
      <c r="F162" s="57">
        <v>2</v>
      </c>
      <c r="G162" s="57">
        <f>VLOOKUP(A162,运维频率!A2:B322,2,FALSE)</f>
        <v>2</v>
      </c>
      <c r="H162" s="57">
        <f>VLOOKUP(A162,上周期销售数据表!$A2:$O222,15,FALSE)</f>
        <v>156</v>
      </c>
      <c r="I162" s="57">
        <f>VLOOKUP(A162,本周期销售数据表!$A2:$O220,15,FALSE)</f>
        <v>65</v>
      </c>
      <c r="J162" s="71">
        <f t="shared" si="20"/>
        <v>-0.583333333333333</v>
      </c>
      <c r="K162" s="57">
        <f>VLOOKUP(A162,本周期销售数据表!$A2:$L220,10,FALSE)</f>
        <v>966.4</v>
      </c>
      <c r="L162" s="57">
        <f>VLOOKUP(A162,本周期销售数据表!$A2:$L220,7,FALSE)</f>
        <v>2</v>
      </c>
    </row>
    <row r="163" hidden="1" spans="1:12">
      <c r="A163" s="59">
        <v>26699</v>
      </c>
      <c r="B163" s="59" t="s">
        <v>91</v>
      </c>
      <c r="C163" s="60" t="s">
        <v>207</v>
      </c>
      <c r="D163" s="59" t="s">
        <v>36</v>
      </c>
      <c r="F163" s="57">
        <v>1</v>
      </c>
      <c r="G163" s="57">
        <f>VLOOKUP(A163,运维频率!A2:B323,2,FALSE)</f>
        <v>1</v>
      </c>
      <c r="H163" s="57">
        <f>VLOOKUP(A163,上周期销售数据表!$A2:$O223,15,FALSE)</f>
        <v>34</v>
      </c>
      <c r="I163" s="57">
        <f>VLOOKUP(A163,本周期销售数据表!$A2:$O221,15,FALSE)</f>
        <v>51</v>
      </c>
      <c r="J163" s="71">
        <f t="shared" si="20"/>
        <v>0.5</v>
      </c>
      <c r="K163" s="57">
        <f>VLOOKUP(A163,本周期销售数据表!$A2:$L221,10,FALSE)</f>
        <v>802.2</v>
      </c>
      <c r="L163" s="57">
        <f>VLOOKUP(A163,本周期销售数据表!$A2:$L221,7,FALSE)</f>
        <v>0</v>
      </c>
    </row>
    <row r="164" hidden="1" spans="1:12">
      <c r="A164" s="59">
        <v>26395</v>
      </c>
      <c r="B164" s="59" t="s">
        <v>91</v>
      </c>
      <c r="C164" s="65" t="s">
        <v>208</v>
      </c>
      <c r="D164" s="59" t="s">
        <v>36</v>
      </c>
      <c r="F164" s="57">
        <v>1</v>
      </c>
      <c r="G164" s="57">
        <f>VLOOKUP(A164,运维频率!A2:B324,2,FALSE)</f>
        <v>1</v>
      </c>
      <c r="H164" s="57">
        <f>VLOOKUP(A164,上周期销售数据表!$A2:$O224,15,FALSE)</f>
        <v>49</v>
      </c>
      <c r="I164" s="57">
        <f>VLOOKUP(A164,本周期销售数据表!$A2:$O222,15,FALSE)</f>
        <v>20</v>
      </c>
      <c r="J164" s="71">
        <f t="shared" si="20"/>
        <v>-0.591836734693878</v>
      </c>
      <c r="K164" s="57">
        <f>VLOOKUP(A164,本周期销售数据表!$A2:$L222,10,FALSE)</f>
        <v>292.4</v>
      </c>
      <c r="L164" s="57">
        <f>VLOOKUP(A164,本周期销售数据表!$A2:$L222,7,FALSE)</f>
        <v>0</v>
      </c>
    </row>
    <row r="165" hidden="1" spans="1:12">
      <c r="A165" s="59">
        <v>53117</v>
      </c>
      <c r="B165" s="59" t="s">
        <v>209</v>
      </c>
      <c r="C165" s="65" t="s">
        <v>210</v>
      </c>
      <c r="D165" s="59" t="s">
        <v>36</v>
      </c>
      <c r="F165" s="57">
        <v>0</v>
      </c>
      <c r="G165" s="57">
        <f>VLOOKUP(A165,运维频率!A2:B325,2,FALSE)</f>
        <v>2</v>
      </c>
      <c r="H165" s="57">
        <f>VLOOKUP(A165,上周期销售数据表!$A2:$O225,15,FALSE)</f>
        <v>1</v>
      </c>
      <c r="I165" s="57">
        <f>VLOOKUP(A165,本周期销售数据表!$A2:$O223,15,FALSE)</f>
        <v>4</v>
      </c>
      <c r="J165" s="71">
        <f t="shared" si="20"/>
        <v>3</v>
      </c>
      <c r="K165" s="57">
        <f>VLOOKUP(A165,本周期销售数据表!$A2:$L223,10,FALSE)</f>
        <v>26</v>
      </c>
      <c r="L165" s="57">
        <f>VLOOKUP(A165,本周期销售数据表!$A2:$L223,7,FALSE)</f>
        <v>4</v>
      </c>
    </row>
    <row r="166" hidden="1" spans="1:12">
      <c r="A166" s="59">
        <v>33520</v>
      </c>
      <c r="B166" s="59" t="s">
        <v>175</v>
      </c>
      <c r="C166" s="60" t="s">
        <v>211</v>
      </c>
      <c r="D166" s="64" t="s">
        <v>29</v>
      </c>
      <c r="F166" s="57">
        <v>1</v>
      </c>
      <c r="G166" s="57">
        <f>VLOOKUP(A166,运维频率!A2:B326,2,FALSE)</f>
        <v>2</v>
      </c>
      <c r="H166" s="57">
        <f>VLOOKUP(A166,上周期销售数据表!$A2:$O226,15,FALSE)</f>
        <v>8</v>
      </c>
      <c r="I166" s="57">
        <f>VLOOKUP(A166,本周期销售数据表!$A2:$O224,15,FALSE)</f>
        <v>5</v>
      </c>
      <c r="J166" s="71">
        <f t="shared" si="20"/>
        <v>-0.375</v>
      </c>
      <c r="K166" s="57">
        <f>VLOOKUP(A166,本周期销售数据表!$A2:$L224,10,FALSE)</f>
        <v>24.7</v>
      </c>
      <c r="L166" s="57">
        <f>VLOOKUP(A166,本周期销售数据表!$A2:$L224,7,FALSE)</f>
        <v>0</v>
      </c>
    </row>
    <row r="167" hidden="1" spans="1:12">
      <c r="A167" s="59">
        <v>33679</v>
      </c>
      <c r="B167" s="59" t="s">
        <v>91</v>
      </c>
      <c r="C167" s="60" t="s">
        <v>212</v>
      </c>
      <c r="D167" s="59" t="s">
        <v>36</v>
      </c>
      <c r="F167" s="57">
        <v>2</v>
      </c>
      <c r="G167" s="57">
        <f>VLOOKUP(A167,运维频率!A2:B327,2,FALSE)</f>
        <v>2</v>
      </c>
      <c r="H167" s="57">
        <f>VLOOKUP(A167,上周期销售数据表!$A2:$O227,15,FALSE)</f>
        <v>17</v>
      </c>
      <c r="I167" s="57">
        <f>VLOOKUP(A167,本周期销售数据表!$A2:$O225,15,FALSE)</f>
        <v>26</v>
      </c>
      <c r="J167" s="71">
        <f t="shared" si="20"/>
        <v>0.529411764705882</v>
      </c>
      <c r="K167" s="57">
        <f>VLOOKUP(A167,本周期销售数据表!$A2:$L225,10,FALSE)</f>
        <v>389.9</v>
      </c>
      <c r="L167" s="57">
        <f>VLOOKUP(A167,本周期销售数据表!$A2:$L225,7,FALSE)</f>
        <v>0</v>
      </c>
    </row>
    <row r="168" hidden="1" spans="1:12">
      <c r="A168" s="59">
        <v>33687</v>
      </c>
      <c r="B168" s="59" t="s">
        <v>91</v>
      </c>
      <c r="C168" s="60" t="s">
        <v>213</v>
      </c>
      <c r="D168" s="59" t="s">
        <v>36</v>
      </c>
      <c r="F168" s="57">
        <v>2</v>
      </c>
      <c r="G168" s="57">
        <f>VLOOKUP(A168,运维频率!A1:B328,2,FALSE)</f>
        <v>2</v>
      </c>
      <c r="H168" s="57">
        <f>VLOOKUP(A168,上周期销售数据表!$A1:$O228,15,FALSE)</f>
        <v>60</v>
      </c>
      <c r="I168" s="57">
        <f>VLOOKUP(A168,本周期销售数据表!$A1:$O226,15,FALSE)</f>
        <v>27</v>
      </c>
      <c r="J168" s="71">
        <f t="shared" si="20"/>
        <v>-0.55</v>
      </c>
      <c r="K168" s="57">
        <f>VLOOKUP(A168,本周期销售数据表!$A2:$L226,10,FALSE)</f>
        <v>414.2</v>
      </c>
      <c r="L168" s="57">
        <f>VLOOKUP(A168,本周期销售数据表!$A2:$L226,7,FALSE)</f>
        <v>1</v>
      </c>
    </row>
    <row r="169" hidden="1" spans="1:12">
      <c r="A169" s="59">
        <v>68715</v>
      </c>
      <c r="B169" s="59" t="s">
        <v>162</v>
      </c>
      <c r="C169" s="60" t="s">
        <v>214</v>
      </c>
      <c r="D169" s="59" t="s">
        <v>36</v>
      </c>
      <c r="F169" s="57">
        <v>2</v>
      </c>
      <c r="G169" s="57">
        <f>VLOOKUP(A169,运维频率!A2:B330,2,FALSE)</f>
        <v>2</v>
      </c>
      <c r="H169" s="57">
        <f>VLOOKUP(A169,上周期销售数据表!$A3:$O230,15,FALSE)</f>
        <v>50</v>
      </c>
      <c r="I169" s="57">
        <f>VLOOKUP(A169,本周期销售数据表!$A2:$O228,15,FALSE)</f>
        <v>54</v>
      </c>
      <c r="J169" s="71">
        <f t="shared" si="20"/>
        <v>0.08</v>
      </c>
      <c r="K169" s="57">
        <f>VLOOKUP(A169,本周期销售数据表!$A2:$L228,10,FALSE)</f>
        <v>613</v>
      </c>
      <c r="L169" s="57">
        <f>VLOOKUP(A169,本周期销售数据表!$A2:$L228,7,FALSE)</f>
        <v>2</v>
      </c>
    </row>
    <row r="170" hidden="1" spans="1:12">
      <c r="A170" s="59">
        <v>33685</v>
      </c>
      <c r="B170" s="59" t="s">
        <v>91</v>
      </c>
      <c r="C170" s="60" t="s">
        <v>215</v>
      </c>
      <c r="D170" s="59" t="s">
        <v>36</v>
      </c>
      <c r="F170" s="57">
        <v>0</v>
      </c>
      <c r="G170" s="57">
        <f>VLOOKUP(A170,运维频率!A2:B331,2,FALSE)</f>
        <v>0</v>
      </c>
      <c r="H170" s="57">
        <f>VLOOKUP(A170,上周期销售数据表!$A2:$O231,15,FALSE)</f>
        <v>6</v>
      </c>
      <c r="I170" s="57">
        <f>VLOOKUP(A170,本周期销售数据表!$A2:$O229,15,FALSE)</f>
        <v>11</v>
      </c>
      <c r="J170" s="71">
        <f t="shared" si="20"/>
        <v>0.833333333333333</v>
      </c>
      <c r="K170" s="57">
        <f>VLOOKUP(A170,本周期销售数据表!$A2:$L229,10,FALSE)</f>
        <v>164.4</v>
      </c>
      <c r="L170" s="57">
        <f>VLOOKUP(A170,本周期销售数据表!$A2:$L229,7,FALSE)</f>
        <v>0</v>
      </c>
    </row>
    <row r="171" spans="1:12">
      <c r="A171" s="59">
        <v>161673</v>
      </c>
      <c r="B171" s="59" t="s">
        <v>20</v>
      </c>
      <c r="C171" s="60" t="s">
        <v>216</v>
      </c>
      <c r="D171" s="57" t="s">
        <v>22</v>
      </c>
      <c r="F171" s="57">
        <v>0</v>
      </c>
      <c r="G171" s="57">
        <f>VLOOKUP(A171,运维频率!A2:B332,2,FALSE)</f>
        <v>0</v>
      </c>
      <c r="H171" s="57">
        <f>VLOOKUP(A171,上周期销售数据表!$A2:$O232,15,FALSE)</f>
        <v>1</v>
      </c>
      <c r="I171" s="57">
        <f>VLOOKUP(A171,本周期销售数据表!$A2:$O230,15,FALSE)</f>
        <v>4</v>
      </c>
      <c r="J171" s="71">
        <f t="shared" si="20"/>
        <v>3</v>
      </c>
      <c r="K171" s="57">
        <f>VLOOKUP(A171,本周期销售数据表!$A2:$L230,10,FALSE)</f>
        <v>22</v>
      </c>
      <c r="L171" s="57">
        <f>VLOOKUP(A171,本周期销售数据表!$A2:$L230,7,FALSE)</f>
        <v>3</v>
      </c>
    </row>
    <row r="172" spans="1:12">
      <c r="A172" s="59">
        <v>26397</v>
      </c>
      <c r="B172" s="59" t="s">
        <v>20</v>
      </c>
      <c r="C172" s="60" t="s">
        <v>217</v>
      </c>
      <c r="D172" s="57" t="s">
        <v>22</v>
      </c>
      <c r="F172" s="57">
        <v>1</v>
      </c>
      <c r="G172" s="57">
        <f>VLOOKUP(A172,运维频率!A2:B333,2,FALSE)</f>
        <v>1</v>
      </c>
      <c r="H172" s="57">
        <f>VLOOKUP(A172,上周期销售数据表!$A2:$O233,15,FALSE)</f>
        <v>26</v>
      </c>
      <c r="I172" s="57">
        <f>VLOOKUP(A172,本周期销售数据表!$A2:$O231,15,FALSE)</f>
        <v>27</v>
      </c>
      <c r="J172" s="71">
        <f t="shared" si="20"/>
        <v>0.0384615384615385</v>
      </c>
      <c r="K172" s="57">
        <f>VLOOKUP(A172,本周期销售数据表!$A2:$L231,10,FALSE)</f>
        <v>263</v>
      </c>
      <c r="L172" s="57">
        <f>VLOOKUP(A172,本周期销售数据表!$A2:$L231,7,FALSE)</f>
        <v>3</v>
      </c>
    </row>
    <row r="173" hidden="1" spans="1:12">
      <c r="A173" s="59">
        <v>23550</v>
      </c>
      <c r="B173" s="59" t="s">
        <v>175</v>
      </c>
      <c r="C173" s="60" t="s">
        <v>218</v>
      </c>
      <c r="D173" s="64" t="s">
        <v>29</v>
      </c>
      <c r="F173" s="57">
        <v>2</v>
      </c>
      <c r="G173" s="57">
        <f>VLOOKUP(A173,运维频率!A2:B334,2,FALSE)</f>
        <v>1</v>
      </c>
      <c r="H173" s="57">
        <f>VLOOKUP(A173,上周期销售数据表!$A2:$O234,15,FALSE)</f>
        <v>41</v>
      </c>
      <c r="I173" s="57">
        <f>VLOOKUP(A173,本周期销售数据表!$A2:$O232,15,FALSE)</f>
        <v>28</v>
      </c>
      <c r="J173" s="71">
        <f t="shared" si="20"/>
        <v>-0.317073170731707</v>
      </c>
      <c r="K173" s="57">
        <f>VLOOKUP(A173,本周期销售数据表!$A2:$L232,10,FALSE)</f>
        <v>377.6</v>
      </c>
      <c r="L173" s="57">
        <f>VLOOKUP(A173,本周期销售数据表!$A2:$L232,7,FALSE)</f>
        <v>5</v>
      </c>
    </row>
    <row r="174" hidden="1" spans="1:12">
      <c r="A174" s="59">
        <v>33675</v>
      </c>
      <c r="B174" s="59" t="s">
        <v>91</v>
      </c>
      <c r="C174" s="59" t="s">
        <v>219</v>
      </c>
      <c r="D174" s="59" t="s">
        <v>36</v>
      </c>
      <c r="F174" s="57">
        <v>0</v>
      </c>
      <c r="G174" s="57">
        <f>VLOOKUP(A174,运维频率!A2:B335,2,FALSE)</f>
        <v>0</v>
      </c>
      <c r="H174" s="57">
        <f>VLOOKUP(A174,上周期销售数据表!$A2:$O235,15,FALSE)</f>
        <v>18</v>
      </c>
      <c r="I174" s="57">
        <f>VLOOKUP(A174,本周期销售数据表!$A2:$O233,15,FALSE)</f>
        <v>18</v>
      </c>
      <c r="J174" s="71">
        <f t="shared" si="20"/>
        <v>0</v>
      </c>
      <c r="K174" s="57">
        <f>VLOOKUP(A174,本周期销售数据表!$A2:$L233,10,FALSE)</f>
        <v>257.2</v>
      </c>
      <c r="L174" s="57">
        <f>VLOOKUP(A174,本周期销售数据表!$A2:$L233,7,FALSE)</f>
        <v>0</v>
      </c>
    </row>
    <row r="175" spans="1:12">
      <c r="A175" s="59">
        <v>53614</v>
      </c>
      <c r="B175" s="59" t="s">
        <v>20</v>
      </c>
      <c r="C175" s="60" t="s">
        <v>220</v>
      </c>
      <c r="D175" s="57" t="s">
        <v>22</v>
      </c>
      <c r="F175" s="57">
        <v>1</v>
      </c>
      <c r="G175" s="57">
        <f>VLOOKUP(A175,运维频率!A2:B336,2,FALSE)</f>
        <v>0</v>
      </c>
      <c r="H175" s="57">
        <f>VLOOKUP(A175,上周期销售数据表!$A2:$O236,15,FALSE)</f>
        <v>8</v>
      </c>
      <c r="I175" s="57">
        <f>VLOOKUP(A175,本周期销售数据表!$A2:$O234,15,FALSE)</f>
        <v>16</v>
      </c>
      <c r="J175" s="71">
        <f t="shared" si="20"/>
        <v>1</v>
      </c>
      <c r="K175" s="57">
        <f>VLOOKUP(A175,本周期销售数据表!$A2:$L234,10,FALSE)</f>
        <v>60.3</v>
      </c>
      <c r="L175" s="57">
        <f>VLOOKUP(A175,本周期销售数据表!$A2:$L234,7,FALSE)</f>
        <v>0</v>
      </c>
    </row>
    <row r="176" hidden="1" spans="1:12">
      <c r="A176" s="59">
        <v>68717</v>
      </c>
      <c r="B176" s="59" t="s">
        <v>162</v>
      </c>
      <c r="C176" s="60" t="s">
        <v>221</v>
      </c>
      <c r="D176" s="59" t="s">
        <v>36</v>
      </c>
      <c r="F176" s="57">
        <v>1</v>
      </c>
      <c r="G176" s="57">
        <f>VLOOKUP(A176,运维频率!A1:B337,2,FALSE)</f>
        <v>2</v>
      </c>
      <c r="H176" s="57">
        <f>VLOOKUP(A176,上周期销售数据表!$A2:$O237,15,FALSE)</f>
        <v>11</v>
      </c>
      <c r="I176" s="57">
        <f>VLOOKUP(A176,本周期销售数据表!$A2:$O235,15,FALSE)</f>
        <v>11</v>
      </c>
      <c r="J176" s="71">
        <f t="shared" si="20"/>
        <v>0</v>
      </c>
      <c r="K176" s="57">
        <f>VLOOKUP(A176,本周期销售数据表!$A2:$L235,10,FALSE)</f>
        <v>127</v>
      </c>
      <c r="L176" s="57">
        <f>VLOOKUP(A176,本周期销售数据表!$A2:$L235,7,FALSE)</f>
        <v>3</v>
      </c>
    </row>
    <row r="177" hidden="1" spans="1:12">
      <c r="A177" s="59">
        <v>58987</v>
      </c>
      <c r="B177" s="59" t="s">
        <v>175</v>
      </c>
      <c r="C177" s="60" t="s">
        <v>222</v>
      </c>
      <c r="D177" s="64" t="s">
        <v>29</v>
      </c>
      <c r="F177" s="57">
        <v>1</v>
      </c>
      <c r="G177" s="57">
        <f>VLOOKUP(A177,运维频率!A2:B338,2,FALSE)</f>
        <v>2</v>
      </c>
      <c r="H177" s="57">
        <f>VLOOKUP(A177,上周期销售数据表!$A2:$O238,15,FALSE)</f>
        <v>27</v>
      </c>
      <c r="I177" s="57">
        <f>VLOOKUP(A177,本周期销售数据表!$A2:$O236,15,FALSE)</f>
        <v>25</v>
      </c>
      <c r="J177" s="71">
        <f t="shared" si="20"/>
        <v>-0.0740740740740741</v>
      </c>
      <c r="K177" s="57">
        <f>VLOOKUP(A177,本周期销售数据表!$A2:$L236,10,FALSE)</f>
        <v>463.64</v>
      </c>
      <c r="L177" s="57">
        <f>VLOOKUP(A177,本周期销售数据表!$A2:$L236,7,FALSE)</f>
        <v>0</v>
      </c>
    </row>
    <row r="178" spans="1:12">
      <c r="A178" s="59">
        <v>58986</v>
      </c>
      <c r="B178" s="59" t="s">
        <v>20</v>
      </c>
      <c r="C178" s="60" t="s">
        <v>223</v>
      </c>
      <c r="D178" s="57" t="s">
        <v>22</v>
      </c>
      <c r="F178" s="57">
        <v>2</v>
      </c>
      <c r="G178" s="57">
        <f>VLOOKUP(A178,运维频率!A2:B339,2,FALSE)</f>
        <v>2</v>
      </c>
      <c r="H178" s="57">
        <f>VLOOKUP(A178,上周期销售数据表!$A2:$O239,15,FALSE)</f>
        <v>21</v>
      </c>
      <c r="I178" s="57">
        <f>VLOOKUP(A178,本周期销售数据表!$A2:$O237,15,FALSE)</f>
        <v>20</v>
      </c>
      <c r="J178" s="71">
        <f t="shared" si="20"/>
        <v>-0.0476190476190476</v>
      </c>
      <c r="K178" s="57">
        <f>VLOOKUP(A178,本周期销售数据表!$A2:$L237,10,FALSE)</f>
        <v>156.85</v>
      </c>
      <c r="L178" s="57">
        <f>VLOOKUP(A178,本周期销售数据表!$A2:$L237,7,FALSE)</f>
        <v>2</v>
      </c>
    </row>
    <row r="179" hidden="1" spans="1:12">
      <c r="A179" s="59">
        <v>71352</v>
      </c>
      <c r="B179" s="59" t="s">
        <v>162</v>
      </c>
      <c r="C179" s="60" t="s">
        <v>224</v>
      </c>
      <c r="D179" s="57" t="s">
        <v>36</v>
      </c>
      <c r="F179" s="57">
        <v>0</v>
      </c>
      <c r="G179" s="57">
        <f>VLOOKUP(A179,运维频率!A2:B340,2,FALSE)</f>
        <v>2</v>
      </c>
      <c r="H179" s="57">
        <f>VLOOKUP(A179,上周期销售数据表!$A2:$O240,15,FALSE)</f>
        <v>51</v>
      </c>
      <c r="I179" s="57">
        <f>VLOOKUP(A179,本周期销售数据表!$A2:$O238,15,FALSE)</f>
        <v>86</v>
      </c>
      <c r="J179" s="71">
        <f t="shared" si="20"/>
        <v>0.686274509803922</v>
      </c>
      <c r="K179" s="57">
        <f>VLOOKUP(A179,本周期销售数据表!$A2:$L238,10,FALSE)</f>
        <v>645.13</v>
      </c>
      <c r="L179" s="57">
        <f>VLOOKUP(A179,本周期销售数据表!$A2:$L238,7,FALSE)</f>
        <v>66</v>
      </c>
    </row>
    <row r="180" hidden="1" spans="3:12">
      <c r="C180" s="60"/>
      <c r="D180" s="59"/>
      <c r="F180" s="57"/>
      <c r="G180" s="57"/>
      <c r="H180" s="57"/>
      <c r="I180" s="57"/>
      <c r="J180" s="71"/>
      <c r="K180" s="57"/>
      <c r="L180" s="57"/>
    </row>
    <row r="181" hidden="1"/>
    <row r="182" spans="2:7">
      <c r="B182" s="53" t="s">
        <v>225</v>
      </c>
      <c r="C182" s="69" t="s">
        <v>226</v>
      </c>
      <c r="D182" s="57" t="s">
        <v>22</v>
      </c>
      <c r="G182" s="57">
        <v>2</v>
      </c>
    </row>
    <row r="183" spans="2:7">
      <c r="B183" s="53" t="s">
        <v>225</v>
      </c>
      <c r="C183" s="69" t="s">
        <v>227</v>
      </c>
      <c r="D183" s="57" t="s">
        <v>22</v>
      </c>
      <c r="G183" s="57">
        <v>2</v>
      </c>
    </row>
    <row r="184" spans="2:7">
      <c r="B184" s="53" t="s">
        <v>225</v>
      </c>
      <c r="C184" s="69" t="s">
        <v>228</v>
      </c>
      <c r="D184" s="57" t="s">
        <v>22</v>
      </c>
      <c r="G184" s="57">
        <v>2</v>
      </c>
    </row>
    <row r="185" spans="2:7">
      <c r="B185" s="53" t="s">
        <v>225</v>
      </c>
      <c r="C185" s="69" t="s">
        <v>229</v>
      </c>
      <c r="D185" s="57" t="s">
        <v>22</v>
      </c>
      <c r="G185" s="57">
        <v>2</v>
      </c>
    </row>
    <row r="186" hidden="1"/>
    <row r="187" hidden="1" spans="3:3">
      <c r="C187" s="101"/>
    </row>
    <row r="188" hidden="1" spans="3:3">
      <c r="C188" s="101"/>
    </row>
    <row r="189" hidden="1" spans="3:3">
      <c r="C189" s="101"/>
    </row>
    <row r="192" ht="20.25" spans="3:6">
      <c r="C192" s="102"/>
      <c r="D192" s="103"/>
      <c r="E192" s="103"/>
      <c r="F192" s="103"/>
    </row>
    <row r="193" ht="20.25" spans="3:6">
      <c r="C193" s="102"/>
      <c r="D193" s="103"/>
      <c r="E193" s="103"/>
      <c r="F193" s="103"/>
    </row>
    <row r="194" ht="20.25" spans="3:6">
      <c r="C194" s="102"/>
      <c r="D194" s="103"/>
      <c r="E194" s="103"/>
      <c r="F194" s="103"/>
    </row>
    <row r="195" ht="20.25" spans="3:6">
      <c r="C195" s="102"/>
      <c r="D195" s="103"/>
      <c r="E195" s="103"/>
      <c r="F195" s="103"/>
    </row>
  </sheetData>
  <autoFilter xmlns:etc="http://www.wps.cn/officeDocument/2017/etCustomData" ref="A1:T189" etc:filterBottomFollowUsedRange="0">
    <filterColumn colId="3">
      <customFilters>
        <customFilter operator="equal" val="李小兰"/>
      </customFilters>
    </filterColumn>
    <extLst/>
  </autoFilter>
  <conditionalFormatting sqref="I74">
    <cfRule type="expression" dxfId="0" priority="156">
      <formula>I74&lt;AD74</formula>
    </cfRule>
    <cfRule type="expression" dxfId="1" priority="157">
      <formula>I74&gt;AC74</formula>
    </cfRule>
    <cfRule type="expression" dxfId="1" priority="158">
      <formula>I1048451&gt;H1048451=20</formula>
    </cfRule>
  </conditionalFormatting>
  <conditionalFormatting sqref="I106">
    <cfRule type="expression" dxfId="0" priority="96">
      <formula>I106&lt;AD106</formula>
    </cfRule>
    <cfRule type="expression" dxfId="1" priority="97">
      <formula>I106&gt;AC106</formula>
    </cfRule>
    <cfRule type="expression" dxfId="1" priority="98">
      <formula>I1048510&gt;H1048510=20</formula>
    </cfRule>
  </conditionalFormatting>
  <conditionalFormatting sqref="I125">
    <cfRule type="expression" dxfId="0" priority="61">
      <formula>I125&lt;AD125</formula>
    </cfRule>
    <cfRule type="expression" dxfId="1" priority="63">
      <formula>I125&gt;AC125</formula>
    </cfRule>
    <cfRule type="expression" dxfId="1" priority="65">
      <formula>I1048532&gt;H1048532=20</formula>
    </cfRule>
  </conditionalFormatting>
  <conditionalFormatting sqref="J125">
    <cfRule type="cellIs" dxfId="2" priority="57" operator="lessThan">
      <formula>-0.2</formula>
    </cfRule>
    <cfRule type="cellIs" dxfId="3" priority="59" operator="greaterThan">
      <formula>0.2</formula>
    </cfRule>
  </conditionalFormatting>
  <conditionalFormatting sqref="I126">
    <cfRule type="expression" dxfId="0" priority="60">
      <formula>I126&lt;AD126</formula>
    </cfRule>
    <cfRule type="expression" dxfId="1" priority="62">
      <formula>I126&gt;AC126</formula>
    </cfRule>
    <cfRule type="expression" dxfId="1" priority="64">
      <formula>I1048533&gt;H1048533=20</formula>
    </cfRule>
  </conditionalFormatting>
  <conditionalFormatting sqref="J126">
    <cfRule type="cellIs" dxfId="2" priority="56" operator="lessThan">
      <formula>-0.2</formula>
    </cfRule>
    <cfRule type="cellIs" dxfId="3" priority="58" operator="greaterThan">
      <formula>0.2</formula>
    </cfRule>
  </conditionalFormatting>
  <conditionalFormatting sqref="I179">
    <cfRule type="expression" dxfId="1" priority="5">
      <formula>I41&gt;H41=20</formula>
    </cfRule>
    <cfRule type="expression" dxfId="1" priority="4">
      <formula>I179&gt;AC179</formula>
    </cfRule>
    <cfRule type="expression" dxfId="0" priority="3">
      <formula>I179&lt;AD179</formula>
    </cfRule>
  </conditionalFormatting>
  <conditionalFormatting sqref="J179">
    <cfRule type="cellIs" dxfId="3" priority="2" operator="greaterThan">
      <formula>0.2</formula>
    </cfRule>
    <cfRule type="cellIs" dxfId="2" priority="1" operator="lessThan">
      <formula>-0.2</formula>
    </cfRule>
  </conditionalFormatting>
  <conditionalFormatting sqref="I180">
    <cfRule type="expression" dxfId="0" priority="165">
      <formula>I180&lt;AD180</formula>
    </cfRule>
    <cfRule type="expression" dxfId="1" priority="166">
      <formula>I180&gt;AC180</formula>
    </cfRule>
    <cfRule type="expression" dxfId="1" priority="167">
      <formula>I41&gt;H41=20</formula>
    </cfRule>
  </conditionalFormatting>
  <conditionalFormatting sqref="I2:I16">
    <cfRule type="expression" dxfId="0" priority="117">
      <formula>I2&lt;AD2</formula>
    </cfRule>
    <cfRule type="expression" dxfId="1" priority="118">
      <formula>I2&gt;AC2</formula>
    </cfRule>
    <cfRule type="expression" dxfId="1" priority="119">
      <formula>I1048367&gt;H1048367=20</formula>
    </cfRule>
  </conditionalFormatting>
  <conditionalFormatting sqref="I17:I24">
    <cfRule type="expression" dxfId="0" priority="141">
      <formula>I17&lt;AD17</formula>
    </cfRule>
    <cfRule type="expression" dxfId="1" priority="142">
      <formula>I17&gt;AC17</formula>
    </cfRule>
    <cfRule type="expression" dxfId="1" priority="143">
      <formula>I1048383&gt;H1048383=20</formula>
    </cfRule>
  </conditionalFormatting>
  <conditionalFormatting sqref="I25:I60">
    <cfRule type="expression" dxfId="0" priority="138">
      <formula>I25&lt;AD25</formula>
    </cfRule>
    <cfRule type="expression" dxfId="1" priority="139">
      <formula>I25&gt;AC25</formula>
    </cfRule>
    <cfRule type="expression" dxfId="1" priority="140">
      <formula>I1048393&gt;H1048393=20</formula>
    </cfRule>
  </conditionalFormatting>
  <conditionalFormatting sqref="I61:I67">
    <cfRule type="expression" dxfId="0" priority="144">
      <formula>I61&lt;AD61</formula>
    </cfRule>
    <cfRule type="expression" dxfId="1" priority="145">
      <formula>I61&gt;AC61</formula>
    </cfRule>
    <cfRule type="expression" dxfId="1" priority="146">
      <formula>I1048430&gt;H1048430=20</formula>
    </cfRule>
  </conditionalFormatting>
  <conditionalFormatting sqref="I68:I73">
    <cfRule type="expression" dxfId="0" priority="132">
      <formula>I68&lt;AD68</formula>
    </cfRule>
    <cfRule type="expression" dxfId="1" priority="133">
      <formula>I68&gt;AC68</formula>
    </cfRule>
    <cfRule type="expression" dxfId="1" priority="134">
      <formula>I1048439&gt;H1048439=20</formula>
    </cfRule>
  </conditionalFormatting>
  <conditionalFormatting sqref="I75:I86">
    <cfRule type="expression" dxfId="0" priority="108">
      <formula>I75&lt;AD75</formula>
    </cfRule>
    <cfRule type="expression" dxfId="1" priority="109">
      <formula>I75&gt;AC75</formula>
    </cfRule>
    <cfRule type="expression" dxfId="1" priority="110">
      <formula>I1048453&gt;H1048453=20</formula>
    </cfRule>
  </conditionalFormatting>
  <conditionalFormatting sqref="I87:I90">
    <cfRule type="expression" dxfId="0" priority="135">
      <formula>I87&lt;AD87</formula>
    </cfRule>
    <cfRule type="expression" dxfId="1" priority="136">
      <formula>I87&gt;AC87</formula>
    </cfRule>
    <cfRule type="expression" dxfId="1" priority="137">
      <formula>I1048466&gt;H1048466=20</formula>
    </cfRule>
  </conditionalFormatting>
  <conditionalFormatting sqref="I91:I94">
    <cfRule type="expression" dxfId="0" priority="102">
      <formula>I91&lt;AD91</formula>
    </cfRule>
    <cfRule type="expression" dxfId="1" priority="103">
      <formula>I91&gt;AC91</formula>
    </cfRule>
    <cfRule type="expression" dxfId="1" priority="104">
      <formula>I1048472&gt;H1048472=20</formula>
    </cfRule>
  </conditionalFormatting>
  <conditionalFormatting sqref="I95:I96">
    <cfRule type="expression" dxfId="0" priority="123">
      <formula>I95&lt;AD95</formula>
    </cfRule>
    <cfRule type="expression" dxfId="1" priority="124">
      <formula>I95&gt;AC95</formula>
    </cfRule>
    <cfRule type="expression" dxfId="1" priority="125">
      <formula>I1048482&gt;H1048482=20</formula>
    </cfRule>
  </conditionalFormatting>
  <conditionalFormatting sqref="I97:I103">
    <cfRule type="expression" dxfId="0" priority="114">
      <formula>I97&lt;AD97</formula>
    </cfRule>
    <cfRule type="expression" dxfId="1" priority="115">
      <formula>I97&gt;AC97</formula>
    </cfRule>
    <cfRule type="expression" dxfId="1" priority="116">
      <formula>I1048497&gt;H1048497=20</formula>
    </cfRule>
  </conditionalFormatting>
  <conditionalFormatting sqref="I104:I105">
    <cfRule type="expression" dxfId="0" priority="159">
      <formula>I104&lt;AD104</formula>
    </cfRule>
    <cfRule type="expression" dxfId="1" priority="160">
      <formula>I104&gt;AC104</formula>
    </cfRule>
    <cfRule type="expression" dxfId="1" priority="161">
      <formula>I1048506&gt;H1048506=20</formula>
    </cfRule>
  </conditionalFormatting>
  <conditionalFormatting sqref="I107:I115">
    <cfRule type="expression" dxfId="0" priority="99">
      <formula>I107&lt;AD107</formula>
    </cfRule>
    <cfRule type="expression" dxfId="1" priority="100">
      <formula>I107&gt;AC107</formula>
    </cfRule>
    <cfRule type="expression" dxfId="1" priority="101">
      <formula>I1048512&gt;H1048512=20</formula>
    </cfRule>
  </conditionalFormatting>
  <conditionalFormatting sqref="I116:I124">
    <cfRule type="expression" dxfId="0" priority="90">
      <formula>I116&lt;AD116</formula>
    </cfRule>
    <cfRule type="expression" dxfId="1" priority="91">
      <formula>I116&gt;AC116</formula>
    </cfRule>
    <cfRule type="expression" dxfId="1" priority="92">
      <formula>I1048522&gt;H1048522=20</formula>
    </cfRule>
  </conditionalFormatting>
  <conditionalFormatting sqref="I127:I137">
    <cfRule type="expression" dxfId="0" priority="129">
      <formula>I127&lt;AD127</formula>
    </cfRule>
    <cfRule type="expression" dxfId="1" priority="130">
      <formula>I127&gt;AC127</formula>
    </cfRule>
    <cfRule type="expression" dxfId="1" priority="131">
      <formula>I1048534&gt;H1048534=20</formula>
    </cfRule>
  </conditionalFormatting>
  <conditionalFormatting sqref="I138:I141">
    <cfRule type="expression" dxfId="0" priority="87">
      <formula>I138&lt;AD138</formula>
    </cfRule>
    <cfRule type="expression" dxfId="1" priority="88">
      <formula>I138&gt;AC138</formula>
    </cfRule>
    <cfRule type="expression" dxfId="1" priority="89">
      <formula>I1048547&gt;H1048547=20</formula>
    </cfRule>
  </conditionalFormatting>
  <conditionalFormatting sqref="I142:I147">
    <cfRule type="expression" dxfId="0" priority="93">
      <formula>I142&lt;AD142</formula>
    </cfRule>
    <cfRule type="expression" dxfId="1" priority="94">
      <formula>I142&gt;AC142</formula>
    </cfRule>
    <cfRule type="expression" dxfId="1" priority="95">
      <formula>I1&gt;H1=20</formula>
    </cfRule>
  </conditionalFormatting>
  <conditionalFormatting sqref="I148:I160">
    <cfRule type="expression" dxfId="0" priority="111">
      <formula>I148&lt;AD148</formula>
    </cfRule>
    <cfRule type="expression" dxfId="1" priority="112">
      <formula>I148&gt;AC148</formula>
    </cfRule>
    <cfRule type="expression" dxfId="1" priority="113">
      <formula>I8&gt;H8=20</formula>
    </cfRule>
  </conditionalFormatting>
  <conditionalFormatting sqref="I161:I168">
    <cfRule type="expression" dxfId="0" priority="153">
      <formula>I161&lt;AD161</formula>
    </cfRule>
    <cfRule type="expression" dxfId="1" priority="154">
      <formula>I161&gt;AC161</formula>
    </cfRule>
    <cfRule type="expression" dxfId="1" priority="155">
      <formula>I22&gt;H22=20</formula>
    </cfRule>
  </conditionalFormatting>
  <conditionalFormatting sqref="I169:I178">
    <cfRule type="expression" dxfId="0" priority="162">
      <formula>I169&lt;AD169</formula>
    </cfRule>
    <cfRule type="expression" dxfId="1" priority="163">
      <formula>I169&gt;AC169</formula>
    </cfRule>
    <cfRule type="expression" dxfId="1" priority="164">
      <formula>I31&gt;H31=20</formula>
    </cfRule>
  </conditionalFormatting>
  <conditionalFormatting sqref="J2:J124 J127:J178 J180">
    <cfRule type="cellIs" dxfId="2" priority="81" operator="lessThan">
      <formula>-0.2</formula>
    </cfRule>
    <cfRule type="cellIs" dxfId="3" priority="82" operator="greaterThan">
      <formula>0.2</formula>
    </cfRule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4"/>
  <sheetViews>
    <sheetView tabSelected="1" topLeftCell="A102" workbookViewId="0">
      <selection activeCell="B127" sqref="B127"/>
    </sheetView>
  </sheetViews>
  <sheetFormatPr defaultColWidth="8.8" defaultRowHeight="15.75"/>
  <cols>
    <col min="2" max="2" width="32.8" customWidth="1"/>
    <col min="11" max="13" width="8.85833333333333"/>
    <col min="15" max="16" width="8.8" customWidth="1"/>
  </cols>
  <sheetData>
    <row r="1" spans="1:15">
      <c r="A1" s="60" t="s">
        <v>0</v>
      </c>
      <c r="B1" s="60" t="s">
        <v>2</v>
      </c>
      <c r="C1" s="60" t="s">
        <v>230</v>
      </c>
      <c r="D1" s="60" t="s">
        <v>231</v>
      </c>
      <c r="E1" s="60" t="s">
        <v>232</v>
      </c>
      <c r="F1" s="60" t="s">
        <v>233</v>
      </c>
      <c r="G1" s="60" t="s">
        <v>11</v>
      </c>
      <c r="H1" s="60" t="s">
        <v>234</v>
      </c>
      <c r="I1" s="60" t="s">
        <v>235</v>
      </c>
      <c r="J1" s="60" t="s">
        <v>10</v>
      </c>
      <c r="K1" s="60" t="s">
        <v>236</v>
      </c>
      <c r="L1" s="60" t="s">
        <v>237</v>
      </c>
      <c r="O1" t="s">
        <v>238</v>
      </c>
    </row>
    <row r="2" spans="1:15">
      <c r="A2" s="60">
        <v>12268</v>
      </c>
      <c r="B2" s="60" t="s">
        <v>45</v>
      </c>
      <c r="C2" s="60">
        <v>2</v>
      </c>
      <c r="D2" s="60">
        <v>17.2</v>
      </c>
      <c r="E2" s="60">
        <v>6</v>
      </c>
      <c r="F2" s="60">
        <v>47.4</v>
      </c>
      <c r="G2" s="60">
        <v>1</v>
      </c>
      <c r="H2" s="60">
        <v>0</v>
      </c>
      <c r="I2" s="60">
        <v>9</v>
      </c>
      <c r="J2" s="60">
        <v>64.6</v>
      </c>
      <c r="K2" s="98">
        <v>0.2663</v>
      </c>
      <c r="L2" s="98">
        <v>0.7337</v>
      </c>
      <c r="M2" s="60"/>
      <c r="O2">
        <f>I2-G2-H2</f>
        <v>8</v>
      </c>
    </row>
    <row r="3" spans="1:15">
      <c r="A3" s="60">
        <v>12248</v>
      </c>
      <c r="B3" s="60" t="s">
        <v>21</v>
      </c>
      <c r="C3" s="60">
        <v>19</v>
      </c>
      <c r="D3" s="60">
        <v>197.8</v>
      </c>
      <c r="E3" s="60">
        <v>9</v>
      </c>
      <c r="F3" s="60">
        <v>82</v>
      </c>
      <c r="G3" s="60">
        <v>2</v>
      </c>
      <c r="H3" s="60">
        <v>0</v>
      </c>
      <c r="I3" s="60">
        <v>30</v>
      </c>
      <c r="J3" s="60">
        <v>279.8</v>
      </c>
      <c r="K3" s="98">
        <v>0.7069</v>
      </c>
      <c r="L3" s="98">
        <v>0.2931</v>
      </c>
      <c r="M3" s="60"/>
      <c r="O3">
        <f t="shared" ref="O3:O34" si="0">I3-G3-H3</f>
        <v>28</v>
      </c>
    </row>
    <row r="4" spans="1:15">
      <c r="A4" s="60">
        <v>13441</v>
      </c>
      <c r="B4" s="60" t="s">
        <v>34</v>
      </c>
      <c r="C4" s="60">
        <v>0</v>
      </c>
      <c r="D4" s="60">
        <v>0</v>
      </c>
      <c r="E4" s="60">
        <v>5</v>
      </c>
      <c r="F4" s="60">
        <v>54</v>
      </c>
      <c r="G4" s="60">
        <v>1</v>
      </c>
      <c r="H4" s="60">
        <v>0</v>
      </c>
      <c r="I4" s="60">
        <v>6</v>
      </c>
      <c r="J4" s="60">
        <v>54</v>
      </c>
      <c r="K4" s="98">
        <v>0</v>
      </c>
      <c r="L4" s="98">
        <v>1</v>
      </c>
      <c r="M4" s="60"/>
      <c r="O4">
        <f t="shared" si="0"/>
        <v>5</v>
      </c>
    </row>
    <row r="5" spans="1:15">
      <c r="A5" s="60">
        <v>13444</v>
      </c>
      <c r="B5" s="60" t="s">
        <v>41</v>
      </c>
      <c r="C5" s="60">
        <v>5</v>
      </c>
      <c r="D5" s="60">
        <v>48.2</v>
      </c>
      <c r="E5" s="60">
        <v>1</v>
      </c>
      <c r="F5" s="60">
        <v>10.8</v>
      </c>
      <c r="G5" s="60">
        <v>0</v>
      </c>
      <c r="H5" s="60">
        <v>0</v>
      </c>
      <c r="I5" s="60">
        <v>6</v>
      </c>
      <c r="J5" s="60">
        <v>59</v>
      </c>
      <c r="K5" s="98">
        <v>0.8169</v>
      </c>
      <c r="L5" s="98">
        <v>0.1831</v>
      </c>
      <c r="M5" s="60"/>
      <c r="O5">
        <f t="shared" si="0"/>
        <v>6</v>
      </c>
    </row>
    <row r="6" spans="1:15">
      <c r="A6" s="60">
        <v>18871</v>
      </c>
      <c r="B6" s="60" t="s">
        <v>239</v>
      </c>
      <c r="C6" s="60">
        <v>34</v>
      </c>
      <c r="D6" s="60">
        <v>521.4</v>
      </c>
      <c r="E6" s="60">
        <v>15</v>
      </c>
      <c r="F6" s="60">
        <v>236</v>
      </c>
      <c r="G6" s="60">
        <v>1</v>
      </c>
      <c r="H6" s="60">
        <v>0</v>
      </c>
      <c r="I6" s="60">
        <v>50</v>
      </c>
      <c r="J6" s="60">
        <v>757.4</v>
      </c>
      <c r="K6" s="98">
        <v>0.6884</v>
      </c>
      <c r="L6" s="98">
        <v>0.3116</v>
      </c>
      <c r="M6" s="60"/>
      <c r="O6">
        <f t="shared" si="0"/>
        <v>49</v>
      </c>
    </row>
    <row r="7" spans="1:15">
      <c r="A7" s="60">
        <v>18878</v>
      </c>
      <c r="B7" s="60" t="s">
        <v>118</v>
      </c>
      <c r="C7" s="60">
        <v>11</v>
      </c>
      <c r="D7" s="60">
        <v>167.9</v>
      </c>
      <c r="E7" s="60">
        <v>6</v>
      </c>
      <c r="F7" s="60">
        <v>96.8</v>
      </c>
      <c r="G7" s="60">
        <v>0</v>
      </c>
      <c r="H7" s="60">
        <v>0</v>
      </c>
      <c r="I7" s="60">
        <v>17</v>
      </c>
      <c r="J7" s="60">
        <v>264.7</v>
      </c>
      <c r="K7" s="98">
        <v>0.6343</v>
      </c>
      <c r="L7" s="98">
        <v>0.3657</v>
      </c>
      <c r="M7" s="60"/>
      <c r="O7">
        <f t="shared" si="0"/>
        <v>17</v>
      </c>
    </row>
    <row r="8" spans="1:15">
      <c r="A8" s="60">
        <v>19662</v>
      </c>
      <c r="B8" s="60" t="s">
        <v>31</v>
      </c>
      <c r="C8" s="60">
        <v>2</v>
      </c>
      <c r="D8" s="60">
        <v>0</v>
      </c>
      <c r="E8" s="60">
        <v>3</v>
      </c>
      <c r="F8" s="60">
        <v>30.4</v>
      </c>
      <c r="G8" s="60">
        <v>3</v>
      </c>
      <c r="H8" s="60">
        <v>0</v>
      </c>
      <c r="I8" s="60">
        <v>8</v>
      </c>
      <c r="J8" s="60">
        <v>30.4</v>
      </c>
      <c r="K8" s="98">
        <v>0</v>
      </c>
      <c r="L8" s="98">
        <v>1</v>
      </c>
      <c r="M8" s="60"/>
      <c r="O8">
        <f t="shared" si="0"/>
        <v>5</v>
      </c>
    </row>
    <row r="9" spans="1:15">
      <c r="A9" s="60">
        <v>22335</v>
      </c>
      <c r="B9" s="60" t="s">
        <v>240</v>
      </c>
      <c r="C9" s="60">
        <v>7</v>
      </c>
      <c r="D9" s="60">
        <v>91.3</v>
      </c>
      <c r="E9" s="60">
        <v>2</v>
      </c>
      <c r="F9" s="60">
        <v>33.6</v>
      </c>
      <c r="G9" s="60">
        <v>1</v>
      </c>
      <c r="H9" s="60">
        <v>0</v>
      </c>
      <c r="I9" s="60">
        <v>10</v>
      </c>
      <c r="J9" s="60">
        <v>124.9</v>
      </c>
      <c r="K9" s="98">
        <v>0.731</v>
      </c>
      <c r="L9" s="98">
        <v>0.269</v>
      </c>
      <c r="M9" s="60"/>
      <c r="O9">
        <f t="shared" si="0"/>
        <v>9</v>
      </c>
    </row>
    <row r="10" spans="1:15">
      <c r="A10" s="60">
        <v>22340</v>
      </c>
      <c r="B10" s="60" t="s">
        <v>241</v>
      </c>
      <c r="C10" s="60">
        <v>20</v>
      </c>
      <c r="D10" s="60">
        <v>275.4</v>
      </c>
      <c r="E10" s="60">
        <v>15</v>
      </c>
      <c r="F10" s="60">
        <v>227</v>
      </c>
      <c r="G10" s="60">
        <v>2</v>
      </c>
      <c r="H10" s="60">
        <v>0</v>
      </c>
      <c r="I10" s="60">
        <v>37</v>
      </c>
      <c r="J10" s="60">
        <v>502.4</v>
      </c>
      <c r="K10" s="98">
        <v>0.5482</v>
      </c>
      <c r="L10" s="98">
        <v>0.4518</v>
      </c>
      <c r="M10" s="60"/>
      <c r="O10">
        <f t="shared" si="0"/>
        <v>35</v>
      </c>
    </row>
    <row r="11" spans="1:15">
      <c r="A11" s="60">
        <v>27748</v>
      </c>
      <c r="B11" s="60" t="s">
        <v>119</v>
      </c>
      <c r="C11" s="60">
        <v>16</v>
      </c>
      <c r="D11" s="60">
        <v>211.3</v>
      </c>
      <c r="E11" s="60">
        <v>12</v>
      </c>
      <c r="F11" s="60">
        <v>177.6</v>
      </c>
      <c r="G11" s="60">
        <v>0</v>
      </c>
      <c r="H11" s="60">
        <v>0</v>
      </c>
      <c r="I11" s="60">
        <v>28</v>
      </c>
      <c r="J11" s="60">
        <v>388.9</v>
      </c>
      <c r="K11" s="98">
        <v>0.5433</v>
      </c>
      <c r="L11" s="98">
        <v>0.4567</v>
      </c>
      <c r="M11" s="60"/>
      <c r="O11">
        <f t="shared" si="0"/>
        <v>28</v>
      </c>
    </row>
    <row r="12" spans="1:15">
      <c r="A12" s="60">
        <v>20858</v>
      </c>
      <c r="B12" s="60" t="s">
        <v>242</v>
      </c>
      <c r="C12" s="60">
        <v>20</v>
      </c>
      <c r="D12" s="60">
        <v>281.9</v>
      </c>
      <c r="E12" s="60">
        <v>5</v>
      </c>
      <c r="F12" s="60">
        <v>80</v>
      </c>
      <c r="G12" s="60">
        <v>1</v>
      </c>
      <c r="H12" s="60">
        <v>0</v>
      </c>
      <c r="I12" s="60">
        <v>26</v>
      </c>
      <c r="J12" s="60">
        <v>361.9</v>
      </c>
      <c r="K12" s="98">
        <v>0.7789</v>
      </c>
      <c r="L12" s="98">
        <v>0.2211</v>
      </c>
      <c r="M12" s="60"/>
      <c r="O12">
        <f t="shared" si="0"/>
        <v>25</v>
      </c>
    </row>
    <row r="13" spans="1:15">
      <c r="A13" s="60">
        <v>23398</v>
      </c>
      <c r="B13" s="60" t="s">
        <v>243</v>
      </c>
      <c r="C13" s="60">
        <v>5</v>
      </c>
      <c r="D13" s="60">
        <v>66.1</v>
      </c>
      <c r="E13" s="60">
        <v>4</v>
      </c>
      <c r="F13" s="60">
        <v>64.2</v>
      </c>
      <c r="G13" s="60">
        <v>2</v>
      </c>
      <c r="H13" s="60">
        <v>0</v>
      </c>
      <c r="I13" s="60">
        <v>11</v>
      </c>
      <c r="J13" s="60">
        <v>130.3</v>
      </c>
      <c r="K13" s="98">
        <v>0.5073</v>
      </c>
      <c r="L13" s="98">
        <v>0.4927</v>
      </c>
      <c r="M13" s="60"/>
      <c r="O13">
        <f t="shared" si="0"/>
        <v>9</v>
      </c>
    </row>
    <row r="14" spans="1:15">
      <c r="A14" s="60">
        <v>12241</v>
      </c>
      <c r="B14" s="60" t="s">
        <v>244</v>
      </c>
      <c r="C14" s="60">
        <v>12</v>
      </c>
      <c r="D14" s="60">
        <v>166.4</v>
      </c>
      <c r="E14" s="60">
        <v>7</v>
      </c>
      <c r="F14" s="60">
        <v>99.6</v>
      </c>
      <c r="G14" s="60">
        <v>0</v>
      </c>
      <c r="H14" s="60">
        <v>0</v>
      </c>
      <c r="I14" s="60">
        <v>19</v>
      </c>
      <c r="J14" s="60">
        <v>266</v>
      </c>
      <c r="K14" s="98">
        <v>0.6256</v>
      </c>
      <c r="L14" s="98">
        <v>0.3744</v>
      </c>
      <c r="M14" s="60"/>
      <c r="O14">
        <f t="shared" si="0"/>
        <v>19</v>
      </c>
    </row>
    <row r="15" spans="1:15">
      <c r="A15" s="60">
        <v>12256</v>
      </c>
      <c r="B15" s="60" t="s">
        <v>245</v>
      </c>
      <c r="C15" s="60">
        <v>2</v>
      </c>
      <c r="D15" s="60">
        <v>33.6</v>
      </c>
      <c r="E15" s="60">
        <v>0</v>
      </c>
      <c r="F15" s="60">
        <v>0</v>
      </c>
      <c r="G15" s="60">
        <v>2</v>
      </c>
      <c r="H15" s="60">
        <v>0</v>
      </c>
      <c r="I15" s="60">
        <v>4</v>
      </c>
      <c r="J15" s="60">
        <v>33.6</v>
      </c>
      <c r="K15" s="98">
        <v>1</v>
      </c>
      <c r="L15" s="98">
        <v>0</v>
      </c>
      <c r="M15" s="60"/>
      <c r="O15">
        <f t="shared" si="0"/>
        <v>2</v>
      </c>
    </row>
    <row r="16" spans="1:15">
      <c r="A16" s="60">
        <v>12267</v>
      </c>
      <c r="B16" s="60" t="s">
        <v>246</v>
      </c>
      <c r="C16" s="60">
        <v>15</v>
      </c>
      <c r="D16" s="60">
        <v>205.4</v>
      </c>
      <c r="E16" s="60">
        <v>19</v>
      </c>
      <c r="F16" s="60">
        <v>309.2</v>
      </c>
      <c r="G16" s="60">
        <v>6</v>
      </c>
      <c r="H16" s="60">
        <v>0</v>
      </c>
      <c r="I16" s="60">
        <v>40</v>
      </c>
      <c r="J16" s="60">
        <v>514.6</v>
      </c>
      <c r="K16" s="98">
        <v>0.3991</v>
      </c>
      <c r="L16" s="98">
        <v>0.6009</v>
      </c>
      <c r="M16" s="60"/>
      <c r="O16">
        <f t="shared" si="0"/>
        <v>34</v>
      </c>
    </row>
    <row r="17" spans="1:15">
      <c r="A17" s="60">
        <v>20770</v>
      </c>
      <c r="B17" s="60" t="s">
        <v>247</v>
      </c>
      <c r="C17" s="60">
        <v>15</v>
      </c>
      <c r="D17" s="60">
        <v>224.7</v>
      </c>
      <c r="E17" s="60">
        <v>12</v>
      </c>
      <c r="F17" s="60">
        <v>192.6</v>
      </c>
      <c r="G17" s="60">
        <v>5</v>
      </c>
      <c r="H17" s="60">
        <v>0</v>
      </c>
      <c r="I17" s="60">
        <v>32</v>
      </c>
      <c r="J17" s="60">
        <v>417.3</v>
      </c>
      <c r="K17" s="98">
        <v>0.5385</v>
      </c>
      <c r="L17" s="98">
        <v>0.4615</v>
      </c>
      <c r="M17" s="60"/>
      <c r="O17">
        <f t="shared" si="0"/>
        <v>27</v>
      </c>
    </row>
    <row r="18" spans="1:15">
      <c r="A18" s="60">
        <v>29354</v>
      </c>
      <c r="B18" s="60" t="s">
        <v>248</v>
      </c>
      <c r="C18" s="60">
        <v>13</v>
      </c>
      <c r="D18" s="60">
        <v>169.8</v>
      </c>
      <c r="E18" s="60">
        <v>7</v>
      </c>
      <c r="F18" s="60">
        <v>111.6</v>
      </c>
      <c r="G18" s="60">
        <v>3</v>
      </c>
      <c r="H18" s="60">
        <v>0</v>
      </c>
      <c r="I18" s="60">
        <v>23</v>
      </c>
      <c r="J18" s="60">
        <v>281.4</v>
      </c>
      <c r="K18" s="98">
        <v>0.6034</v>
      </c>
      <c r="L18" s="98">
        <v>0.3966</v>
      </c>
      <c r="M18" s="60"/>
      <c r="O18">
        <f t="shared" si="0"/>
        <v>20</v>
      </c>
    </row>
    <row r="19" spans="1:15">
      <c r="A19" s="60">
        <v>29355</v>
      </c>
      <c r="B19" s="60" t="s">
        <v>249</v>
      </c>
      <c r="C19" s="60">
        <v>19</v>
      </c>
      <c r="D19" s="60">
        <v>249.2</v>
      </c>
      <c r="E19" s="60">
        <v>16</v>
      </c>
      <c r="F19" s="60">
        <v>253.8</v>
      </c>
      <c r="G19" s="60">
        <v>5</v>
      </c>
      <c r="H19" s="60">
        <v>0</v>
      </c>
      <c r="I19" s="60">
        <v>40</v>
      </c>
      <c r="J19" s="60">
        <v>503</v>
      </c>
      <c r="K19" s="98">
        <v>0.4954</v>
      </c>
      <c r="L19" s="98">
        <v>0.5046</v>
      </c>
      <c r="M19" s="60"/>
      <c r="O19">
        <f t="shared" si="0"/>
        <v>35</v>
      </c>
    </row>
    <row r="20" spans="1:15">
      <c r="A20" s="60">
        <v>12239</v>
      </c>
      <c r="B20" s="60" t="s">
        <v>47</v>
      </c>
      <c r="C20" s="60">
        <v>4</v>
      </c>
      <c r="D20" s="60">
        <v>30.2</v>
      </c>
      <c r="E20" s="60">
        <v>17</v>
      </c>
      <c r="F20" s="60">
        <v>134.6</v>
      </c>
      <c r="G20" s="60">
        <v>4</v>
      </c>
      <c r="H20" s="60">
        <v>0</v>
      </c>
      <c r="I20" s="60">
        <v>25</v>
      </c>
      <c r="J20" s="60">
        <v>164.8</v>
      </c>
      <c r="K20" s="98">
        <v>0.1833</v>
      </c>
      <c r="L20" s="98">
        <v>0.8167</v>
      </c>
      <c r="M20" s="60"/>
      <c r="O20">
        <f t="shared" si="0"/>
        <v>21</v>
      </c>
    </row>
    <row r="21" spans="1:15">
      <c r="A21" s="60">
        <v>16690</v>
      </c>
      <c r="B21" s="60" t="s">
        <v>44</v>
      </c>
      <c r="C21" s="60">
        <v>60</v>
      </c>
      <c r="D21" s="60">
        <v>153.2</v>
      </c>
      <c r="E21" s="60">
        <v>37</v>
      </c>
      <c r="F21" s="60">
        <v>310.3</v>
      </c>
      <c r="G21" s="60">
        <v>1</v>
      </c>
      <c r="H21" s="60">
        <v>0</v>
      </c>
      <c r="I21" s="60">
        <v>98</v>
      </c>
      <c r="J21" s="60">
        <v>463.5</v>
      </c>
      <c r="K21" s="98">
        <v>0.3305</v>
      </c>
      <c r="L21" s="98">
        <v>0.6695</v>
      </c>
      <c r="M21" s="60"/>
      <c r="O21">
        <f t="shared" si="0"/>
        <v>97</v>
      </c>
    </row>
    <row r="22" spans="1:15">
      <c r="A22" s="60">
        <v>12266</v>
      </c>
      <c r="B22" s="60" t="s">
        <v>48</v>
      </c>
      <c r="C22" s="60">
        <v>32</v>
      </c>
      <c r="D22" s="60">
        <v>101.45</v>
      </c>
      <c r="E22" s="60">
        <v>47</v>
      </c>
      <c r="F22" s="60">
        <v>179.6</v>
      </c>
      <c r="G22" s="60">
        <v>1</v>
      </c>
      <c r="H22" s="60">
        <v>0</v>
      </c>
      <c r="I22" s="60">
        <v>80</v>
      </c>
      <c r="J22" s="60">
        <v>281.05</v>
      </c>
      <c r="K22" s="98">
        <v>0.361</v>
      </c>
      <c r="L22" s="98">
        <v>0.639</v>
      </c>
      <c r="M22" s="60"/>
      <c r="O22">
        <f t="shared" si="0"/>
        <v>79</v>
      </c>
    </row>
    <row r="23" spans="1:15">
      <c r="A23" s="60">
        <v>33279</v>
      </c>
      <c r="B23" s="60" t="s">
        <v>73</v>
      </c>
      <c r="C23" s="60">
        <v>20</v>
      </c>
      <c r="D23" s="60">
        <v>278.4</v>
      </c>
      <c r="E23" s="60">
        <v>10</v>
      </c>
      <c r="F23" s="60">
        <v>151</v>
      </c>
      <c r="G23" s="60">
        <v>7</v>
      </c>
      <c r="H23" s="60">
        <v>0</v>
      </c>
      <c r="I23" s="60">
        <v>37</v>
      </c>
      <c r="J23" s="60">
        <v>429.4</v>
      </c>
      <c r="K23" s="98">
        <v>0.6483</v>
      </c>
      <c r="L23" s="98">
        <v>0.3517</v>
      </c>
      <c r="M23" s="60"/>
      <c r="O23">
        <f t="shared" si="0"/>
        <v>30</v>
      </c>
    </row>
    <row r="24" spans="1:15">
      <c r="A24" s="60">
        <v>33424</v>
      </c>
      <c r="B24" s="60" t="s">
        <v>250</v>
      </c>
      <c r="C24" s="60">
        <v>19</v>
      </c>
      <c r="D24" s="60">
        <v>238.5</v>
      </c>
      <c r="E24" s="60">
        <v>3</v>
      </c>
      <c r="F24" s="60">
        <v>47.4</v>
      </c>
      <c r="G24" s="60">
        <v>3</v>
      </c>
      <c r="H24" s="60">
        <v>0</v>
      </c>
      <c r="I24" s="60">
        <v>25</v>
      </c>
      <c r="J24" s="60">
        <v>285.9</v>
      </c>
      <c r="K24" s="98">
        <v>0.8342</v>
      </c>
      <c r="L24" s="98">
        <v>0.1658</v>
      </c>
      <c r="M24" s="60"/>
      <c r="O24">
        <f t="shared" si="0"/>
        <v>22</v>
      </c>
    </row>
    <row r="25" spans="1:15">
      <c r="A25" s="60">
        <v>33420</v>
      </c>
      <c r="B25" s="60" t="s">
        <v>251</v>
      </c>
      <c r="C25" s="60">
        <v>27</v>
      </c>
      <c r="D25" s="60">
        <v>360.3</v>
      </c>
      <c r="E25" s="60">
        <v>8</v>
      </c>
      <c r="F25" s="60">
        <v>123.4</v>
      </c>
      <c r="G25" s="60">
        <v>6</v>
      </c>
      <c r="H25" s="60">
        <v>0</v>
      </c>
      <c r="I25" s="60">
        <v>41</v>
      </c>
      <c r="J25" s="60">
        <v>483.7</v>
      </c>
      <c r="K25" s="98">
        <v>0.7449</v>
      </c>
      <c r="L25" s="98">
        <v>0.2551</v>
      </c>
      <c r="M25" s="60"/>
      <c r="O25">
        <f t="shared" si="0"/>
        <v>35</v>
      </c>
    </row>
    <row r="26" spans="1:15">
      <c r="A26" s="60">
        <v>33423</v>
      </c>
      <c r="B26" s="60" t="s">
        <v>252</v>
      </c>
      <c r="C26" s="60">
        <v>5</v>
      </c>
      <c r="D26" s="60">
        <v>72.6</v>
      </c>
      <c r="E26" s="60">
        <v>9</v>
      </c>
      <c r="F26" s="60">
        <v>138.2</v>
      </c>
      <c r="G26" s="60">
        <v>2</v>
      </c>
      <c r="H26" s="60">
        <v>0</v>
      </c>
      <c r="I26" s="60">
        <v>16</v>
      </c>
      <c r="J26" s="60">
        <v>210.8</v>
      </c>
      <c r="K26" s="98">
        <v>0.3444</v>
      </c>
      <c r="L26" s="98">
        <v>0.6556</v>
      </c>
      <c r="M26" s="60"/>
      <c r="O26">
        <f t="shared" si="0"/>
        <v>14</v>
      </c>
    </row>
    <row r="27" spans="1:15">
      <c r="A27" s="60">
        <v>33422</v>
      </c>
      <c r="B27" s="60" t="s">
        <v>253</v>
      </c>
      <c r="C27" s="60">
        <v>16</v>
      </c>
      <c r="D27" s="60">
        <v>231.5</v>
      </c>
      <c r="E27" s="60">
        <v>6</v>
      </c>
      <c r="F27" s="60">
        <v>94.8</v>
      </c>
      <c r="G27" s="60">
        <v>6</v>
      </c>
      <c r="H27" s="60">
        <v>0</v>
      </c>
      <c r="I27" s="60">
        <v>28</v>
      </c>
      <c r="J27" s="60">
        <v>326.3</v>
      </c>
      <c r="K27" s="98">
        <v>0.7095</v>
      </c>
      <c r="L27" s="98">
        <v>0.2905</v>
      </c>
      <c r="M27" s="60"/>
      <c r="O27">
        <f t="shared" si="0"/>
        <v>22</v>
      </c>
    </row>
    <row r="28" spans="1:15">
      <c r="A28" s="60">
        <v>33427</v>
      </c>
      <c r="B28" s="60" t="s">
        <v>254</v>
      </c>
      <c r="C28" s="60">
        <v>18</v>
      </c>
      <c r="D28" s="60">
        <v>252.3</v>
      </c>
      <c r="E28" s="60">
        <v>13</v>
      </c>
      <c r="F28" s="60">
        <v>199.4</v>
      </c>
      <c r="G28" s="60">
        <v>2</v>
      </c>
      <c r="H28" s="60">
        <v>0</v>
      </c>
      <c r="I28" s="60">
        <v>33</v>
      </c>
      <c r="J28" s="60">
        <v>451.7</v>
      </c>
      <c r="K28" s="98">
        <v>0.5586</v>
      </c>
      <c r="L28" s="98">
        <v>0.4414</v>
      </c>
      <c r="M28" s="60"/>
      <c r="O28">
        <f t="shared" si="0"/>
        <v>31</v>
      </c>
    </row>
    <row r="29" spans="1:15">
      <c r="A29" s="60">
        <v>33416</v>
      </c>
      <c r="B29" s="60" t="s">
        <v>255</v>
      </c>
      <c r="C29" s="60">
        <v>1</v>
      </c>
      <c r="D29" s="60">
        <v>13.8</v>
      </c>
      <c r="E29" s="60">
        <v>3</v>
      </c>
      <c r="F29" s="60">
        <v>46.4</v>
      </c>
      <c r="G29" s="60">
        <v>1</v>
      </c>
      <c r="H29" s="60">
        <v>0</v>
      </c>
      <c r="I29" s="60">
        <v>5</v>
      </c>
      <c r="J29" s="60">
        <v>60.2</v>
      </c>
      <c r="K29" s="98">
        <v>0.2292</v>
      </c>
      <c r="L29" s="98">
        <v>0.7708</v>
      </c>
      <c r="M29" s="60"/>
      <c r="O29">
        <f t="shared" si="0"/>
        <v>4</v>
      </c>
    </row>
    <row r="30" spans="1:15">
      <c r="A30" s="60">
        <v>33418</v>
      </c>
      <c r="B30" s="60" t="s">
        <v>256</v>
      </c>
      <c r="C30" s="60">
        <v>9</v>
      </c>
      <c r="D30" s="60">
        <v>132.3</v>
      </c>
      <c r="E30" s="60">
        <v>5</v>
      </c>
      <c r="F30" s="60">
        <v>69</v>
      </c>
      <c r="G30" s="60">
        <v>1</v>
      </c>
      <c r="H30" s="60">
        <v>0</v>
      </c>
      <c r="I30" s="60">
        <v>15</v>
      </c>
      <c r="J30" s="60">
        <v>201.3</v>
      </c>
      <c r="K30" s="98">
        <v>0.6572</v>
      </c>
      <c r="L30" s="98">
        <v>0.3428</v>
      </c>
      <c r="M30" s="60"/>
      <c r="O30">
        <f t="shared" si="0"/>
        <v>14</v>
      </c>
    </row>
    <row r="31" spans="1:15">
      <c r="A31" s="60">
        <v>33412</v>
      </c>
      <c r="B31" s="60" t="s">
        <v>154</v>
      </c>
      <c r="C31" s="60">
        <v>21</v>
      </c>
      <c r="D31" s="60">
        <v>206</v>
      </c>
      <c r="E31" s="60">
        <v>11</v>
      </c>
      <c r="F31" s="60">
        <v>124.8</v>
      </c>
      <c r="G31" s="60">
        <v>0</v>
      </c>
      <c r="H31" s="60">
        <v>0</v>
      </c>
      <c r="I31" s="60">
        <v>32</v>
      </c>
      <c r="J31" s="60">
        <v>330.8</v>
      </c>
      <c r="K31" s="98">
        <v>0.6227</v>
      </c>
      <c r="L31" s="98">
        <v>0.3773</v>
      </c>
      <c r="M31" s="60"/>
      <c r="O31">
        <f t="shared" si="0"/>
        <v>32</v>
      </c>
    </row>
    <row r="32" spans="1:15">
      <c r="A32" s="60">
        <v>33417</v>
      </c>
      <c r="B32" s="60" t="s">
        <v>158</v>
      </c>
      <c r="C32" s="60">
        <v>35</v>
      </c>
      <c r="D32" s="60">
        <v>348.8</v>
      </c>
      <c r="E32" s="60">
        <v>25</v>
      </c>
      <c r="F32" s="60">
        <v>239.2</v>
      </c>
      <c r="G32" s="60">
        <v>3</v>
      </c>
      <c r="H32" s="60">
        <v>0</v>
      </c>
      <c r="I32" s="60">
        <v>63</v>
      </c>
      <c r="J32" s="60">
        <v>588</v>
      </c>
      <c r="K32" s="98">
        <v>0.5932</v>
      </c>
      <c r="L32" s="98">
        <v>0.4068</v>
      </c>
      <c r="M32" s="60"/>
      <c r="O32">
        <f t="shared" si="0"/>
        <v>60</v>
      </c>
    </row>
    <row r="33" spans="1:15">
      <c r="A33" s="60">
        <v>33516</v>
      </c>
      <c r="B33" s="60" t="s">
        <v>257</v>
      </c>
      <c r="C33" s="60">
        <v>0</v>
      </c>
      <c r="D33" s="60">
        <v>0</v>
      </c>
      <c r="E33" s="60">
        <v>8</v>
      </c>
      <c r="F33" s="60">
        <v>38.1</v>
      </c>
      <c r="G33" s="60">
        <v>0</v>
      </c>
      <c r="H33" s="60">
        <v>0</v>
      </c>
      <c r="I33" s="60">
        <v>8</v>
      </c>
      <c r="J33" s="60">
        <v>38.1</v>
      </c>
      <c r="K33" s="98">
        <v>0</v>
      </c>
      <c r="L33" s="98">
        <v>1</v>
      </c>
      <c r="M33" s="60"/>
      <c r="O33">
        <f t="shared" si="0"/>
        <v>8</v>
      </c>
    </row>
    <row r="34" spans="1:15">
      <c r="A34" s="60">
        <v>33430</v>
      </c>
      <c r="B34" s="60" t="s">
        <v>258</v>
      </c>
      <c r="C34" s="60">
        <v>10</v>
      </c>
      <c r="D34" s="60">
        <v>128.3</v>
      </c>
      <c r="E34" s="60">
        <v>6</v>
      </c>
      <c r="F34" s="60">
        <v>94.8</v>
      </c>
      <c r="G34" s="60">
        <v>1</v>
      </c>
      <c r="H34" s="60">
        <v>0</v>
      </c>
      <c r="I34" s="60">
        <v>17</v>
      </c>
      <c r="J34" s="60">
        <v>223.1</v>
      </c>
      <c r="K34" s="98">
        <v>0.5751</v>
      </c>
      <c r="L34" s="98">
        <v>0.4249</v>
      </c>
      <c r="M34" s="60"/>
      <c r="O34">
        <f t="shared" si="0"/>
        <v>16</v>
      </c>
    </row>
    <row r="35" spans="1:15">
      <c r="A35" s="60">
        <v>33512</v>
      </c>
      <c r="B35" s="60" t="s">
        <v>259</v>
      </c>
      <c r="C35" s="60">
        <v>6</v>
      </c>
      <c r="D35" s="60">
        <v>84.9</v>
      </c>
      <c r="E35" s="60">
        <v>9</v>
      </c>
      <c r="F35" s="60">
        <v>134.2</v>
      </c>
      <c r="G35" s="60">
        <v>0</v>
      </c>
      <c r="H35" s="60">
        <v>0</v>
      </c>
      <c r="I35" s="60">
        <v>15</v>
      </c>
      <c r="J35" s="60">
        <v>219.1</v>
      </c>
      <c r="K35" s="98">
        <v>0.3875</v>
      </c>
      <c r="L35" s="98">
        <v>0.6125</v>
      </c>
      <c r="M35" s="60"/>
      <c r="O35">
        <f t="shared" ref="O35:O66" si="1">I35-G35-H35</f>
        <v>15</v>
      </c>
    </row>
    <row r="36" spans="1:15">
      <c r="A36" s="60">
        <v>33511</v>
      </c>
      <c r="B36" s="60" t="s">
        <v>115</v>
      </c>
      <c r="C36" s="60">
        <v>12</v>
      </c>
      <c r="D36" s="60">
        <v>164.4</v>
      </c>
      <c r="E36" s="60">
        <v>8</v>
      </c>
      <c r="F36" s="60">
        <v>121.4</v>
      </c>
      <c r="G36" s="60">
        <v>1</v>
      </c>
      <c r="H36" s="60">
        <v>0</v>
      </c>
      <c r="I36" s="60">
        <v>21</v>
      </c>
      <c r="J36" s="60">
        <v>285.8</v>
      </c>
      <c r="K36" s="98">
        <v>0.5752</v>
      </c>
      <c r="L36" s="98">
        <v>0.4248</v>
      </c>
      <c r="M36" s="60"/>
      <c r="O36">
        <f t="shared" si="1"/>
        <v>20</v>
      </c>
    </row>
    <row r="37" spans="1:15">
      <c r="A37" s="60">
        <v>33514</v>
      </c>
      <c r="B37" s="60" t="s">
        <v>116</v>
      </c>
      <c r="C37" s="60">
        <v>9</v>
      </c>
      <c r="D37" s="60">
        <v>129.3</v>
      </c>
      <c r="E37" s="60">
        <v>7</v>
      </c>
      <c r="F37" s="60">
        <v>104.6</v>
      </c>
      <c r="G37" s="60">
        <v>4</v>
      </c>
      <c r="H37" s="60">
        <v>0</v>
      </c>
      <c r="I37" s="60">
        <v>20</v>
      </c>
      <c r="J37" s="60">
        <v>233.9</v>
      </c>
      <c r="K37" s="98">
        <v>0.5528</v>
      </c>
      <c r="L37" s="98">
        <v>0.4472</v>
      </c>
      <c r="M37" s="60"/>
      <c r="O37">
        <f t="shared" si="1"/>
        <v>16</v>
      </c>
    </row>
    <row r="38" spans="1:15">
      <c r="A38" s="60">
        <v>33413</v>
      </c>
      <c r="B38" s="60" t="s">
        <v>260</v>
      </c>
      <c r="C38" s="60">
        <v>11</v>
      </c>
      <c r="D38" s="60">
        <v>164</v>
      </c>
      <c r="E38" s="60">
        <v>8</v>
      </c>
      <c r="F38" s="60">
        <v>122.4</v>
      </c>
      <c r="G38" s="60">
        <v>0</v>
      </c>
      <c r="H38" s="60">
        <v>0</v>
      </c>
      <c r="I38" s="60">
        <v>19</v>
      </c>
      <c r="J38" s="60">
        <v>286.4</v>
      </c>
      <c r="K38" s="98">
        <v>0.5726</v>
      </c>
      <c r="L38" s="98">
        <v>0.4274</v>
      </c>
      <c r="M38" s="60"/>
      <c r="O38">
        <f t="shared" si="1"/>
        <v>19</v>
      </c>
    </row>
    <row r="39" spans="1:15">
      <c r="A39" s="60">
        <v>33515</v>
      </c>
      <c r="B39" s="60" t="s">
        <v>160</v>
      </c>
      <c r="C39" s="60">
        <v>3</v>
      </c>
      <c r="D39" s="60">
        <v>32.4</v>
      </c>
      <c r="E39" s="60">
        <v>6</v>
      </c>
      <c r="F39" s="60">
        <v>64.8</v>
      </c>
      <c r="G39" s="60">
        <v>0</v>
      </c>
      <c r="H39" s="60">
        <v>0</v>
      </c>
      <c r="I39" s="60">
        <v>9</v>
      </c>
      <c r="J39" s="60">
        <v>97.2</v>
      </c>
      <c r="K39" s="98">
        <v>0.3333</v>
      </c>
      <c r="L39" s="98">
        <v>0.6667</v>
      </c>
      <c r="M39" s="60"/>
      <c r="O39">
        <f t="shared" si="1"/>
        <v>9</v>
      </c>
    </row>
    <row r="40" spans="1:15">
      <c r="A40" s="60">
        <v>33513</v>
      </c>
      <c r="B40" s="60" t="s">
        <v>261</v>
      </c>
      <c r="C40" s="60">
        <v>66</v>
      </c>
      <c r="D40" s="60">
        <v>924</v>
      </c>
      <c r="E40" s="60">
        <v>30</v>
      </c>
      <c r="F40" s="60">
        <v>463</v>
      </c>
      <c r="G40" s="60">
        <v>0</v>
      </c>
      <c r="H40" s="60">
        <v>0</v>
      </c>
      <c r="I40" s="60">
        <v>96</v>
      </c>
      <c r="J40" s="60">
        <v>1387</v>
      </c>
      <c r="K40" s="98">
        <v>0.6662</v>
      </c>
      <c r="L40" s="98">
        <v>0.3338</v>
      </c>
      <c r="M40" s="60"/>
      <c r="O40">
        <f t="shared" si="1"/>
        <v>96</v>
      </c>
    </row>
    <row r="41" spans="1:15">
      <c r="A41" s="60">
        <v>66331</v>
      </c>
      <c r="B41" s="60" t="s">
        <v>184</v>
      </c>
      <c r="C41" s="60">
        <v>41</v>
      </c>
      <c r="D41" s="60">
        <v>620.7</v>
      </c>
      <c r="E41" s="60">
        <v>19</v>
      </c>
      <c r="F41" s="60">
        <v>297.2</v>
      </c>
      <c r="G41" s="60">
        <v>0</v>
      </c>
      <c r="H41" s="60">
        <v>0</v>
      </c>
      <c r="I41" s="60">
        <v>60</v>
      </c>
      <c r="J41" s="60">
        <v>917.9</v>
      </c>
      <c r="K41" s="98">
        <v>0.6762</v>
      </c>
      <c r="L41" s="98">
        <v>0.3238</v>
      </c>
      <c r="M41" s="60"/>
      <c r="O41">
        <f t="shared" si="1"/>
        <v>60</v>
      </c>
    </row>
    <row r="42" spans="1:15">
      <c r="A42" s="60">
        <v>33524</v>
      </c>
      <c r="B42" s="60" t="s">
        <v>180</v>
      </c>
      <c r="C42" s="60">
        <v>2</v>
      </c>
      <c r="D42" s="60">
        <v>13</v>
      </c>
      <c r="E42" s="60">
        <v>29</v>
      </c>
      <c r="F42" s="60">
        <v>190.5</v>
      </c>
      <c r="G42" s="60">
        <v>3</v>
      </c>
      <c r="H42" s="60">
        <v>0</v>
      </c>
      <c r="I42" s="60">
        <v>34</v>
      </c>
      <c r="J42" s="60">
        <v>203.5</v>
      </c>
      <c r="K42" s="98">
        <v>0.0639</v>
      </c>
      <c r="L42" s="98">
        <v>0.9361</v>
      </c>
      <c r="M42" s="60"/>
      <c r="O42">
        <f t="shared" si="1"/>
        <v>31</v>
      </c>
    </row>
    <row r="43" spans="1:15">
      <c r="A43" s="60">
        <v>52935</v>
      </c>
      <c r="B43" s="60" t="s">
        <v>25</v>
      </c>
      <c r="C43" s="60">
        <v>13</v>
      </c>
      <c r="D43" s="60">
        <v>96.7</v>
      </c>
      <c r="E43" s="60">
        <v>20</v>
      </c>
      <c r="F43" s="60">
        <v>227.2</v>
      </c>
      <c r="G43" s="60">
        <v>2</v>
      </c>
      <c r="H43" s="60">
        <v>0</v>
      </c>
      <c r="I43" s="60">
        <v>35</v>
      </c>
      <c r="J43" s="60">
        <v>323.9</v>
      </c>
      <c r="K43" s="98">
        <v>0.2985</v>
      </c>
      <c r="L43" s="98">
        <v>0.7015</v>
      </c>
      <c r="M43" s="60"/>
      <c r="O43">
        <f t="shared" si="1"/>
        <v>33</v>
      </c>
    </row>
    <row r="44" spans="1:15">
      <c r="A44" s="60">
        <v>54632</v>
      </c>
      <c r="B44" s="60" t="s">
        <v>262</v>
      </c>
      <c r="C44" s="60">
        <v>2</v>
      </c>
      <c r="D44" s="60">
        <v>27.6</v>
      </c>
      <c r="E44" s="60">
        <v>3</v>
      </c>
      <c r="F44" s="60">
        <v>41.4</v>
      </c>
      <c r="G44" s="60">
        <v>0</v>
      </c>
      <c r="H44" s="60">
        <v>0</v>
      </c>
      <c r="I44" s="60">
        <v>5</v>
      </c>
      <c r="J44" s="60">
        <v>69</v>
      </c>
      <c r="K44" s="98">
        <v>0.4</v>
      </c>
      <c r="L44" s="98">
        <v>0.6</v>
      </c>
      <c r="M44" s="60"/>
      <c r="O44">
        <f t="shared" si="1"/>
        <v>5</v>
      </c>
    </row>
    <row r="45" spans="1:15">
      <c r="A45" s="60">
        <v>33690</v>
      </c>
      <c r="B45" s="60" t="s">
        <v>263</v>
      </c>
      <c r="C45" s="60">
        <v>9</v>
      </c>
      <c r="D45" s="60">
        <v>132.8</v>
      </c>
      <c r="E45" s="60">
        <v>10</v>
      </c>
      <c r="F45" s="60">
        <v>163</v>
      </c>
      <c r="G45" s="60">
        <v>0</v>
      </c>
      <c r="H45" s="60">
        <v>0</v>
      </c>
      <c r="I45" s="60">
        <v>19</v>
      </c>
      <c r="J45" s="60">
        <v>295.8</v>
      </c>
      <c r="K45" s="98">
        <v>0.449</v>
      </c>
      <c r="L45" s="98">
        <v>0.551</v>
      </c>
      <c r="M45" s="60"/>
      <c r="O45">
        <f t="shared" si="1"/>
        <v>19</v>
      </c>
    </row>
    <row r="46" spans="1:15">
      <c r="A46" s="60">
        <v>33682</v>
      </c>
      <c r="B46" s="60" t="s">
        <v>264</v>
      </c>
      <c r="C46" s="60">
        <v>10</v>
      </c>
      <c r="D46" s="60">
        <v>152.6</v>
      </c>
      <c r="E46" s="60">
        <v>9</v>
      </c>
      <c r="F46" s="60">
        <v>132.2</v>
      </c>
      <c r="G46" s="60">
        <v>0</v>
      </c>
      <c r="H46" s="60">
        <v>0</v>
      </c>
      <c r="I46" s="60">
        <v>19</v>
      </c>
      <c r="J46" s="60">
        <v>284.8</v>
      </c>
      <c r="K46" s="98">
        <v>0.5358</v>
      </c>
      <c r="L46" s="98">
        <v>0.4642</v>
      </c>
      <c r="M46" s="60"/>
      <c r="O46">
        <f t="shared" si="1"/>
        <v>19</v>
      </c>
    </row>
    <row r="47" spans="1:15">
      <c r="A47" s="60">
        <v>33527</v>
      </c>
      <c r="B47" s="60" t="s">
        <v>265</v>
      </c>
      <c r="C47" s="60">
        <v>5</v>
      </c>
      <c r="D47" s="60">
        <v>81</v>
      </c>
      <c r="E47" s="60">
        <v>7</v>
      </c>
      <c r="F47" s="60">
        <v>104.6</v>
      </c>
      <c r="G47" s="60">
        <v>0</v>
      </c>
      <c r="H47" s="60">
        <v>0</v>
      </c>
      <c r="I47" s="60">
        <v>12</v>
      </c>
      <c r="J47" s="60">
        <v>185.6</v>
      </c>
      <c r="K47" s="98">
        <v>0.4364</v>
      </c>
      <c r="L47" s="98">
        <v>0.5636</v>
      </c>
      <c r="M47" s="60"/>
      <c r="O47">
        <f t="shared" si="1"/>
        <v>12</v>
      </c>
    </row>
    <row r="48" spans="1:15">
      <c r="A48" s="60">
        <v>33692</v>
      </c>
      <c r="B48" s="60" t="s">
        <v>266</v>
      </c>
      <c r="C48" s="60">
        <v>0</v>
      </c>
      <c r="D48" s="60">
        <v>0</v>
      </c>
      <c r="E48" s="60">
        <v>1</v>
      </c>
      <c r="F48" s="60">
        <v>16.8</v>
      </c>
      <c r="G48" s="60">
        <v>0</v>
      </c>
      <c r="H48" s="60">
        <v>0</v>
      </c>
      <c r="I48" s="60">
        <v>1</v>
      </c>
      <c r="J48" s="60">
        <v>16.8</v>
      </c>
      <c r="K48" s="98">
        <v>0</v>
      </c>
      <c r="L48" s="98">
        <v>1</v>
      </c>
      <c r="M48" s="60"/>
      <c r="O48">
        <f t="shared" si="1"/>
        <v>1</v>
      </c>
    </row>
    <row r="49" spans="1:15">
      <c r="A49" s="60">
        <v>33688</v>
      </c>
      <c r="B49" s="60" t="s">
        <v>267</v>
      </c>
      <c r="C49" s="60">
        <v>13</v>
      </c>
      <c r="D49" s="60">
        <v>186.6</v>
      </c>
      <c r="E49" s="60">
        <v>18</v>
      </c>
      <c r="F49" s="60">
        <v>285.4</v>
      </c>
      <c r="G49" s="60">
        <v>0</v>
      </c>
      <c r="H49" s="60">
        <v>0</v>
      </c>
      <c r="I49" s="60">
        <v>31</v>
      </c>
      <c r="J49" s="60">
        <v>472</v>
      </c>
      <c r="K49" s="98">
        <v>0.3953</v>
      </c>
      <c r="L49" s="98">
        <v>0.6047</v>
      </c>
      <c r="M49" s="60"/>
      <c r="O49">
        <f t="shared" si="1"/>
        <v>31</v>
      </c>
    </row>
    <row r="50" spans="1:15">
      <c r="A50" s="60">
        <v>33687</v>
      </c>
      <c r="B50" s="60" t="s">
        <v>213</v>
      </c>
      <c r="C50" s="60">
        <v>10</v>
      </c>
      <c r="D50" s="60">
        <v>142.6</v>
      </c>
      <c r="E50" s="60">
        <v>17</v>
      </c>
      <c r="F50" s="60">
        <v>271.6</v>
      </c>
      <c r="G50" s="60">
        <v>1</v>
      </c>
      <c r="H50" s="60">
        <v>0</v>
      </c>
      <c r="I50" s="60">
        <v>28</v>
      </c>
      <c r="J50" s="60">
        <v>414.2</v>
      </c>
      <c r="K50" s="98">
        <v>0.3443</v>
      </c>
      <c r="L50" s="98">
        <v>0.6557</v>
      </c>
      <c r="M50" s="60"/>
      <c r="O50">
        <f t="shared" si="1"/>
        <v>27</v>
      </c>
    </row>
    <row r="51" spans="1:15">
      <c r="A51" s="60">
        <v>33679</v>
      </c>
      <c r="B51" s="60" t="s">
        <v>268</v>
      </c>
      <c r="C51" s="60">
        <v>7</v>
      </c>
      <c r="D51" s="60">
        <v>96.7</v>
      </c>
      <c r="E51" s="60">
        <v>19</v>
      </c>
      <c r="F51" s="60">
        <v>293.2</v>
      </c>
      <c r="G51" s="60">
        <v>0</v>
      </c>
      <c r="H51" s="60">
        <v>0</v>
      </c>
      <c r="I51" s="60">
        <v>26</v>
      </c>
      <c r="J51" s="60">
        <v>389.9</v>
      </c>
      <c r="K51" s="98">
        <v>0.248</v>
      </c>
      <c r="L51" s="98">
        <v>0.752</v>
      </c>
      <c r="M51" s="60"/>
      <c r="O51">
        <f t="shared" si="1"/>
        <v>26</v>
      </c>
    </row>
    <row r="52" spans="1:15">
      <c r="A52" s="60">
        <v>33525</v>
      </c>
      <c r="B52" s="60" t="s">
        <v>39</v>
      </c>
      <c r="C52" s="60">
        <v>0</v>
      </c>
      <c r="D52" s="60">
        <v>0</v>
      </c>
      <c r="E52" s="60">
        <v>22</v>
      </c>
      <c r="F52" s="60">
        <v>66.5</v>
      </c>
      <c r="G52" s="60">
        <v>1</v>
      </c>
      <c r="H52" s="60">
        <v>0</v>
      </c>
      <c r="I52" s="60">
        <v>23</v>
      </c>
      <c r="J52" s="60">
        <v>66.5</v>
      </c>
      <c r="K52" s="98">
        <v>0</v>
      </c>
      <c r="L52" s="98">
        <v>1</v>
      </c>
      <c r="M52" s="60"/>
      <c r="O52">
        <f t="shared" si="1"/>
        <v>22</v>
      </c>
    </row>
    <row r="53" spans="1:15">
      <c r="A53" s="60">
        <v>33529</v>
      </c>
      <c r="B53" s="60" t="s">
        <v>269</v>
      </c>
      <c r="C53" s="60">
        <v>15</v>
      </c>
      <c r="D53" s="60">
        <v>226.1</v>
      </c>
      <c r="E53" s="60">
        <v>9</v>
      </c>
      <c r="F53" s="60">
        <v>134.2</v>
      </c>
      <c r="G53" s="60">
        <v>0</v>
      </c>
      <c r="H53" s="60">
        <v>0</v>
      </c>
      <c r="I53" s="60">
        <v>24</v>
      </c>
      <c r="J53" s="60">
        <v>360.3</v>
      </c>
      <c r="K53" s="98">
        <v>0.6275</v>
      </c>
      <c r="L53" s="98">
        <v>0.3725</v>
      </c>
      <c r="M53" s="60"/>
      <c r="O53">
        <f t="shared" si="1"/>
        <v>24</v>
      </c>
    </row>
    <row r="54" spans="1:15">
      <c r="A54" s="60">
        <v>33526</v>
      </c>
      <c r="B54" s="60" t="s">
        <v>270</v>
      </c>
      <c r="C54" s="60">
        <v>9</v>
      </c>
      <c r="D54" s="60">
        <v>132.8</v>
      </c>
      <c r="E54" s="60">
        <v>6</v>
      </c>
      <c r="F54" s="60">
        <v>90.8</v>
      </c>
      <c r="G54" s="60">
        <v>2</v>
      </c>
      <c r="H54" s="60">
        <v>0</v>
      </c>
      <c r="I54" s="60">
        <v>17</v>
      </c>
      <c r="J54" s="60">
        <v>223.6</v>
      </c>
      <c r="K54" s="98">
        <v>0.5939</v>
      </c>
      <c r="L54" s="98">
        <v>0.4061</v>
      </c>
      <c r="M54" s="60"/>
      <c r="O54">
        <f t="shared" si="1"/>
        <v>15</v>
      </c>
    </row>
    <row r="55" spans="1:15">
      <c r="A55" s="60">
        <v>33517</v>
      </c>
      <c r="B55" s="60" t="s">
        <v>271</v>
      </c>
      <c r="C55" s="60">
        <v>13</v>
      </c>
      <c r="D55" s="60">
        <v>172.8</v>
      </c>
      <c r="E55" s="60">
        <v>6</v>
      </c>
      <c r="F55" s="60">
        <v>92.8</v>
      </c>
      <c r="G55" s="60">
        <v>2</v>
      </c>
      <c r="H55" s="60">
        <v>0</v>
      </c>
      <c r="I55" s="60">
        <v>21</v>
      </c>
      <c r="J55" s="60">
        <v>265.6</v>
      </c>
      <c r="K55" s="98">
        <v>0.6506</v>
      </c>
      <c r="L55" s="98">
        <v>0.3494</v>
      </c>
      <c r="M55" s="60"/>
      <c r="O55">
        <f t="shared" si="1"/>
        <v>19</v>
      </c>
    </row>
    <row r="56" spans="1:15">
      <c r="A56" s="60">
        <v>33428</v>
      </c>
      <c r="B56" s="60" t="s">
        <v>82</v>
      </c>
      <c r="C56" s="60">
        <v>7</v>
      </c>
      <c r="D56" s="60">
        <v>106.6</v>
      </c>
      <c r="E56" s="60">
        <v>7</v>
      </c>
      <c r="F56" s="60">
        <v>106.6</v>
      </c>
      <c r="G56" s="60">
        <v>6</v>
      </c>
      <c r="H56" s="60">
        <v>0</v>
      </c>
      <c r="I56" s="60">
        <v>20</v>
      </c>
      <c r="J56" s="60">
        <v>213.2</v>
      </c>
      <c r="K56" s="98">
        <v>0.5</v>
      </c>
      <c r="L56" s="98">
        <v>0.5</v>
      </c>
      <c r="M56" s="60"/>
      <c r="O56">
        <f t="shared" si="1"/>
        <v>14</v>
      </c>
    </row>
    <row r="57" spans="1:15">
      <c r="A57" s="60">
        <v>22253</v>
      </c>
      <c r="B57" s="60" t="s">
        <v>59</v>
      </c>
      <c r="C57" s="60">
        <v>6</v>
      </c>
      <c r="D57" s="60">
        <v>25.3</v>
      </c>
      <c r="E57" s="60">
        <v>0</v>
      </c>
      <c r="F57" s="60">
        <v>0</v>
      </c>
      <c r="G57" s="60">
        <v>0</v>
      </c>
      <c r="H57" s="60">
        <v>0</v>
      </c>
      <c r="I57" s="60">
        <v>6</v>
      </c>
      <c r="J57" s="60">
        <v>25.3</v>
      </c>
      <c r="K57" s="98">
        <v>1</v>
      </c>
      <c r="L57" s="98">
        <v>0</v>
      </c>
      <c r="M57" s="60"/>
      <c r="O57">
        <f t="shared" si="1"/>
        <v>6</v>
      </c>
    </row>
    <row r="58" spans="1:15">
      <c r="A58" s="60">
        <v>22209</v>
      </c>
      <c r="B58" s="60" t="s">
        <v>272</v>
      </c>
      <c r="C58" s="60">
        <v>21</v>
      </c>
      <c r="D58" s="60">
        <v>279.2</v>
      </c>
      <c r="E58" s="60">
        <v>8</v>
      </c>
      <c r="F58" s="60">
        <v>123.4</v>
      </c>
      <c r="G58" s="60">
        <v>0</v>
      </c>
      <c r="H58" s="60">
        <v>0</v>
      </c>
      <c r="I58" s="60">
        <v>29</v>
      </c>
      <c r="J58" s="60">
        <v>402.6</v>
      </c>
      <c r="K58" s="98">
        <v>0.6935</v>
      </c>
      <c r="L58" s="98">
        <v>0.3065</v>
      </c>
      <c r="M58" s="60"/>
      <c r="O58">
        <f t="shared" si="1"/>
        <v>29</v>
      </c>
    </row>
    <row r="59" spans="1:15">
      <c r="A59" s="60">
        <v>19393</v>
      </c>
      <c r="B59" s="60" t="s">
        <v>177</v>
      </c>
      <c r="C59" s="60">
        <v>0</v>
      </c>
      <c r="D59" s="60">
        <v>0</v>
      </c>
      <c r="E59" s="60">
        <v>7</v>
      </c>
      <c r="F59" s="60">
        <v>31.5</v>
      </c>
      <c r="G59" s="60">
        <v>0</v>
      </c>
      <c r="H59" s="60">
        <v>0</v>
      </c>
      <c r="I59" s="60">
        <v>7</v>
      </c>
      <c r="J59" s="60">
        <v>31.5</v>
      </c>
      <c r="K59" s="98">
        <v>0</v>
      </c>
      <c r="L59" s="98">
        <v>1</v>
      </c>
      <c r="M59" s="60"/>
      <c r="O59">
        <f t="shared" si="1"/>
        <v>7</v>
      </c>
    </row>
    <row r="60" spans="1:15">
      <c r="A60" s="60">
        <v>22254</v>
      </c>
      <c r="B60" s="60" t="s">
        <v>54</v>
      </c>
      <c r="C60" s="60">
        <v>0</v>
      </c>
      <c r="D60" s="60">
        <v>0</v>
      </c>
      <c r="E60" s="60">
        <v>5</v>
      </c>
      <c r="F60" s="60">
        <v>28</v>
      </c>
      <c r="G60" s="60">
        <v>1</v>
      </c>
      <c r="H60" s="60">
        <v>0</v>
      </c>
      <c r="I60" s="60">
        <v>6</v>
      </c>
      <c r="J60" s="60">
        <v>28</v>
      </c>
      <c r="K60" s="98">
        <v>0</v>
      </c>
      <c r="L60" s="98">
        <v>1</v>
      </c>
      <c r="M60" s="60"/>
      <c r="O60">
        <f t="shared" si="1"/>
        <v>5</v>
      </c>
    </row>
    <row r="61" spans="1:15">
      <c r="A61" s="60">
        <v>20905</v>
      </c>
      <c r="B61" s="60" t="s">
        <v>66</v>
      </c>
      <c r="C61" s="60">
        <v>11</v>
      </c>
      <c r="D61" s="60">
        <v>143.6</v>
      </c>
      <c r="E61" s="60">
        <v>4</v>
      </c>
      <c r="F61" s="60">
        <v>62.2</v>
      </c>
      <c r="G61" s="60">
        <v>1</v>
      </c>
      <c r="H61" s="60">
        <v>0</v>
      </c>
      <c r="I61" s="60">
        <v>16</v>
      </c>
      <c r="J61" s="60">
        <v>205.8</v>
      </c>
      <c r="K61" s="98">
        <v>0.6978</v>
      </c>
      <c r="L61" s="98">
        <v>0.3022</v>
      </c>
      <c r="M61" s="60"/>
      <c r="O61">
        <f t="shared" si="1"/>
        <v>15</v>
      </c>
    </row>
    <row r="62" spans="1:15">
      <c r="A62" s="60">
        <v>74081</v>
      </c>
      <c r="B62" s="60" t="s">
        <v>28</v>
      </c>
      <c r="C62" s="60">
        <v>30</v>
      </c>
      <c r="D62" s="60">
        <v>471.4</v>
      </c>
      <c r="E62" s="60">
        <v>20</v>
      </c>
      <c r="F62" s="60">
        <v>341</v>
      </c>
      <c r="G62" s="60">
        <v>0</v>
      </c>
      <c r="H62" s="60">
        <v>0</v>
      </c>
      <c r="I62" s="60">
        <v>50</v>
      </c>
      <c r="J62" s="60">
        <v>812.4</v>
      </c>
      <c r="K62" s="98">
        <v>0.5803</v>
      </c>
      <c r="L62" s="98">
        <v>0.4197</v>
      </c>
      <c r="M62" s="60"/>
      <c r="O62">
        <f t="shared" si="1"/>
        <v>50</v>
      </c>
    </row>
    <row r="63" spans="1:15">
      <c r="A63" s="60">
        <v>30012</v>
      </c>
      <c r="B63" s="60" t="s">
        <v>67</v>
      </c>
      <c r="C63" s="60">
        <v>9</v>
      </c>
      <c r="D63" s="60">
        <v>121.5</v>
      </c>
      <c r="E63" s="60">
        <v>2</v>
      </c>
      <c r="F63" s="60">
        <v>33.6</v>
      </c>
      <c r="G63" s="60">
        <v>1</v>
      </c>
      <c r="H63" s="60">
        <v>0</v>
      </c>
      <c r="I63" s="60">
        <v>12</v>
      </c>
      <c r="J63" s="60">
        <v>155.1</v>
      </c>
      <c r="K63" s="98">
        <v>0.7834</v>
      </c>
      <c r="L63" s="98">
        <v>0.2166</v>
      </c>
      <c r="M63" s="60"/>
      <c r="O63">
        <f t="shared" si="1"/>
        <v>11</v>
      </c>
    </row>
    <row r="64" spans="1:15">
      <c r="A64" s="60">
        <v>26990</v>
      </c>
      <c r="B64" s="60" t="s">
        <v>72</v>
      </c>
      <c r="C64" s="60">
        <v>29</v>
      </c>
      <c r="D64" s="60">
        <v>375.2</v>
      </c>
      <c r="E64" s="60">
        <v>9</v>
      </c>
      <c r="F64" s="60">
        <v>140.2</v>
      </c>
      <c r="G64" s="60">
        <v>0</v>
      </c>
      <c r="H64" s="60">
        <v>0</v>
      </c>
      <c r="I64" s="60">
        <v>38</v>
      </c>
      <c r="J64" s="60">
        <v>515.4</v>
      </c>
      <c r="K64" s="98">
        <v>0.728</v>
      </c>
      <c r="L64" s="98">
        <v>0.272</v>
      </c>
      <c r="M64" s="60"/>
      <c r="O64">
        <f t="shared" si="1"/>
        <v>38</v>
      </c>
    </row>
    <row r="65" spans="1:15">
      <c r="A65" s="60">
        <v>67234</v>
      </c>
      <c r="B65" s="60" t="s">
        <v>273</v>
      </c>
      <c r="C65" s="60">
        <v>62</v>
      </c>
      <c r="D65" s="60">
        <v>966.1</v>
      </c>
      <c r="E65" s="60">
        <v>52</v>
      </c>
      <c r="F65" s="60">
        <v>851.6</v>
      </c>
      <c r="G65" s="60">
        <v>2</v>
      </c>
      <c r="H65" s="60">
        <v>0</v>
      </c>
      <c r="I65" s="60">
        <v>116</v>
      </c>
      <c r="J65" s="60">
        <v>1817.7</v>
      </c>
      <c r="K65" s="98">
        <v>0.5315</v>
      </c>
      <c r="L65" s="98">
        <v>0.4685</v>
      </c>
      <c r="M65" s="60"/>
      <c r="O65">
        <f t="shared" si="1"/>
        <v>114</v>
      </c>
    </row>
    <row r="66" spans="1:15">
      <c r="A66" s="60">
        <v>26986</v>
      </c>
      <c r="B66" s="60" t="s">
        <v>68</v>
      </c>
      <c r="C66" s="60">
        <v>22</v>
      </c>
      <c r="D66" s="60">
        <v>304.5</v>
      </c>
      <c r="E66" s="60">
        <v>10</v>
      </c>
      <c r="F66" s="60">
        <v>156</v>
      </c>
      <c r="G66" s="60">
        <v>0</v>
      </c>
      <c r="H66" s="60">
        <v>0</v>
      </c>
      <c r="I66" s="60">
        <v>32</v>
      </c>
      <c r="J66" s="60">
        <v>460.5</v>
      </c>
      <c r="K66" s="98">
        <v>0.6612</v>
      </c>
      <c r="L66" s="98">
        <v>0.3388</v>
      </c>
      <c r="M66" s="60"/>
      <c r="O66">
        <f t="shared" si="1"/>
        <v>32</v>
      </c>
    </row>
    <row r="67" spans="1:15">
      <c r="A67" s="60">
        <v>33675</v>
      </c>
      <c r="B67" s="60" t="s">
        <v>219</v>
      </c>
      <c r="C67" s="60">
        <v>11</v>
      </c>
      <c r="D67" s="60">
        <v>146.6</v>
      </c>
      <c r="E67" s="60">
        <v>7</v>
      </c>
      <c r="F67" s="60">
        <v>110.6</v>
      </c>
      <c r="G67" s="60">
        <v>0</v>
      </c>
      <c r="H67" s="60">
        <v>0</v>
      </c>
      <c r="I67" s="60">
        <v>18</v>
      </c>
      <c r="J67" s="60">
        <v>257.2</v>
      </c>
      <c r="K67" s="98">
        <v>0.57</v>
      </c>
      <c r="L67" s="98">
        <v>0.43</v>
      </c>
      <c r="M67" s="60"/>
      <c r="O67">
        <f t="shared" ref="O67:O98" si="2">I67-G67-H67</f>
        <v>18</v>
      </c>
    </row>
    <row r="68" spans="1:15">
      <c r="A68" s="60">
        <v>23396</v>
      </c>
      <c r="B68" s="60" t="s">
        <v>193</v>
      </c>
      <c r="C68" s="60">
        <v>48</v>
      </c>
      <c r="D68" s="60">
        <v>695.1</v>
      </c>
      <c r="E68" s="60">
        <v>20</v>
      </c>
      <c r="F68" s="60">
        <v>301</v>
      </c>
      <c r="G68" s="60">
        <v>0</v>
      </c>
      <c r="H68" s="60">
        <v>0</v>
      </c>
      <c r="I68" s="60">
        <v>68</v>
      </c>
      <c r="J68" s="60">
        <v>996.1</v>
      </c>
      <c r="K68" s="98">
        <v>0.6978</v>
      </c>
      <c r="L68" s="98">
        <v>0.3022</v>
      </c>
      <c r="M68" s="60"/>
      <c r="O68">
        <f t="shared" si="2"/>
        <v>68</v>
      </c>
    </row>
    <row r="69" spans="1:15">
      <c r="A69" s="60">
        <v>26394</v>
      </c>
      <c r="B69" s="60" t="s">
        <v>274</v>
      </c>
      <c r="C69" s="60">
        <v>15</v>
      </c>
      <c r="D69" s="60">
        <v>48.8</v>
      </c>
      <c r="E69" s="60">
        <v>66</v>
      </c>
      <c r="F69" s="60">
        <v>308.8</v>
      </c>
      <c r="G69" s="60">
        <v>5</v>
      </c>
      <c r="H69" s="60">
        <v>0</v>
      </c>
      <c r="I69" s="60">
        <v>86</v>
      </c>
      <c r="J69" s="60">
        <v>357.6</v>
      </c>
      <c r="K69" s="98">
        <v>0.1365</v>
      </c>
      <c r="L69" s="98">
        <v>0.8635</v>
      </c>
      <c r="M69" s="60"/>
      <c r="O69">
        <f t="shared" si="2"/>
        <v>81</v>
      </c>
    </row>
    <row r="70" spans="1:15">
      <c r="A70" s="60">
        <v>23401</v>
      </c>
      <c r="B70" s="60" t="s">
        <v>275</v>
      </c>
      <c r="C70" s="60">
        <v>0</v>
      </c>
      <c r="D70" s="60">
        <v>0</v>
      </c>
      <c r="E70" s="60">
        <v>0</v>
      </c>
      <c r="F70" s="60">
        <v>0</v>
      </c>
      <c r="G70" s="60">
        <v>1</v>
      </c>
      <c r="H70" s="60">
        <v>0</v>
      </c>
      <c r="I70" s="60">
        <v>1</v>
      </c>
      <c r="J70" s="60">
        <v>0</v>
      </c>
      <c r="K70" s="98">
        <v>0</v>
      </c>
      <c r="L70" s="98">
        <v>0</v>
      </c>
      <c r="M70" s="60"/>
      <c r="O70">
        <f t="shared" si="2"/>
        <v>0</v>
      </c>
    </row>
    <row r="71" spans="1:15">
      <c r="A71" s="60">
        <v>20915</v>
      </c>
      <c r="B71" s="60" t="s">
        <v>276</v>
      </c>
      <c r="C71" s="60">
        <v>7</v>
      </c>
      <c r="D71" s="60">
        <v>109.6</v>
      </c>
      <c r="E71" s="60">
        <v>6</v>
      </c>
      <c r="F71" s="60">
        <v>94.8</v>
      </c>
      <c r="G71" s="60">
        <v>1</v>
      </c>
      <c r="H71" s="60">
        <v>0</v>
      </c>
      <c r="I71" s="60">
        <v>14</v>
      </c>
      <c r="J71" s="60">
        <v>204.4</v>
      </c>
      <c r="K71" s="98">
        <v>0.5362</v>
      </c>
      <c r="L71" s="98">
        <v>0.4638</v>
      </c>
      <c r="M71" s="60"/>
      <c r="O71">
        <f t="shared" si="2"/>
        <v>13</v>
      </c>
    </row>
    <row r="72" spans="1:15">
      <c r="A72" s="60">
        <v>22220</v>
      </c>
      <c r="B72" s="60" t="s">
        <v>192</v>
      </c>
      <c r="C72" s="60">
        <v>51</v>
      </c>
      <c r="D72" s="60">
        <v>719.9</v>
      </c>
      <c r="E72" s="60">
        <v>15</v>
      </c>
      <c r="F72" s="60">
        <v>240</v>
      </c>
      <c r="G72" s="60">
        <v>0</v>
      </c>
      <c r="H72" s="60">
        <v>0</v>
      </c>
      <c r="I72" s="60">
        <v>66</v>
      </c>
      <c r="J72" s="60">
        <v>959.9</v>
      </c>
      <c r="K72" s="98">
        <v>0.75</v>
      </c>
      <c r="L72" s="98">
        <v>0.25</v>
      </c>
      <c r="M72" s="60"/>
      <c r="O72">
        <f t="shared" si="2"/>
        <v>66</v>
      </c>
    </row>
    <row r="73" spans="1:15">
      <c r="A73" s="60">
        <v>26041</v>
      </c>
      <c r="B73" s="60" t="s">
        <v>277</v>
      </c>
      <c r="C73" s="60">
        <v>10</v>
      </c>
      <c r="D73" s="60">
        <v>98</v>
      </c>
      <c r="E73" s="60">
        <v>6</v>
      </c>
      <c r="F73" s="60">
        <v>62.8</v>
      </c>
      <c r="G73" s="60">
        <v>0</v>
      </c>
      <c r="H73" s="60">
        <v>0</v>
      </c>
      <c r="I73" s="60">
        <v>16</v>
      </c>
      <c r="J73" s="60">
        <v>160.8</v>
      </c>
      <c r="K73" s="98">
        <v>0.6095</v>
      </c>
      <c r="L73" s="98">
        <v>0.3905</v>
      </c>
      <c r="M73" s="60"/>
      <c r="O73">
        <f t="shared" si="2"/>
        <v>16</v>
      </c>
    </row>
    <row r="74" spans="1:15">
      <c r="A74" s="60">
        <v>26042</v>
      </c>
      <c r="B74" s="60" t="s">
        <v>278</v>
      </c>
      <c r="C74" s="60">
        <v>11</v>
      </c>
      <c r="D74" s="60">
        <v>107.4</v>
      </c>
      <c r="E74" s="60">
        <v>4</v>
      </c>
      <c r="F74" s="60">
        <v>45.2</v>
      </c>
      <c r="G74" s="60">
        <v>0</v>
      </c>
      <c r="H74" s="60">
        <v>0</v>
      </c>
      <c r="I74" s="60">
        <v>15</v>
      </c>
      <c r="J74" s="60">
        <v>152.6</v>
      </c>
      <c r="K74" s="98">
        <v>0.7038</v>
      </c>
      <c r="L74" s="98">
        <v>0.2962</v>
      </c>
      <c r="M74" s="60"/>
      <c r="O74">
        <f t="shared" si="2"/>
        <v>15</v>
      </c>
    </row>
    <row r="75" spans="1:15">
      <c r="A75" s="60">
        <v>26040</v>
      </c>
      <c r="B75" s="60" t="s">
        <v>279</v>
      </c>
      <c r="C75" s="60">
        <v>11</v>
      </c>
      <c r="D75" s="60">
        <v>95.4</v>
      </c>
      <c r="E75" s="60">
        <v>3</v>
      </c>
      <c r="F75" s="60">
        <v>32.4</v>
      </c>
      <c r="G75" s="60">
        <v>0</v>
      </c>
      <c r="H75" s="60">
        <v>0</v>
      </c>
      <c r="I75" s="60">
        <v>14</v>
      </c>
      <c r="J75" s="60">
        <v>127.8</v>
      </c>
      <c r="K75" s="98">
        <v>0.7465</v>
      </c>
      <c r="L75" s="98">
        <v>0.2535</v>
      </c>
      <c r="M75" s="60"/>
      <c r="O75">
        <f t="shared" si="2"/>
        <v>14</v>
      </c>
    </row>
    <row r="76" spans="1:15">
      <c r="A76" s="60">
        <v>18857</v>
      </c>
      <c r="B76" s="60" t="s">
        <v>280</v>
      </c>
      <c r="C76" s="60">
        <v>0</v>
      </c>
      <c r="D76" s="60">
        <v>0</v>
      </c>
      <c r="E76" s="60">
        <v>1</v>
      </c>
      <c r="F76" s="60">
        <v>16.8</v>
      </c>
      <c r="G76" s="60">
        <v>0</v>
      </c>
      <c r="H76" s="60">
        <v>0</v>
      </c>
      <c r="I76" s="60">
        <v>1</v>
      </c>
      <c r="J76" s="60">
        <v>16.8</v>
      </c>
      <c r="K76" s="98">
        <v>0</v>
      </c>
      <c r="L76" s="98">
        <v>1</v>
      </c>
      <c r="M76" s="60"/>
      <c r="O76">
        <f t="shared" si="2"/>
        <v>1</v>
      </c>
    </row>
    <row r="77" spans="1:15">
      <c r="A77" s="60">
        <v>22169</v>
      </c>
      <c r="B77" s="60" t="s">
        <v>281</v>
      </c>
      <c r="C77" s="60">
        <v>4</v>
      </c>
      <c r="D77" s="60">
        <v>52.3</v>
      </c>
      <c r="E77" s="60">
        <v>6</v>
      </c>
      <c r="F77" s="60">
        <v>94.8</v>
      </c>
      <c r="G77" s="60">
        <v>0</v>
      </c>
      <c r="H77" s="60">
        <v>0</v>
      </c>
      <c r="I77" s="60">
        <v>10</v>
      </c>
      <c r="J77" s="60">
        <v>147.1</v>
      </c>
      <c r="K77" s="98">
        <v>0.3555</v>
      </c>
      <c r="L77" s="98">
        <v>0.6445</v>
      </c>
      <c r="M77" s="60"/>
      <c r="O77">
        <f t="shared" si="2"/>
        <v>10</v>
      </c>
    </row>
    <row r="78" spans="1:15">
      <c r="A78" s="60">
        <v>22461</v>
      </c>
      <c r="B78" s="60" t="s">
        <v>121</v>
      </c>
      <c r="C78" s="60">
        <v>19</v>
      </c>
      <c r="D78" s="60">
        <v>246.7</v>
      </c>
      <c r="E78" s="60">
        <v>17</v>
      </c>
      <c r="F78" s="60">
        <v>266.6</v>
      </c>
      <c r="G78" s="60">
        <v>31</v>
      </c>
      <c r="H78" s="60">
        <v>0</v>
      </c>
      <c r="I78" s="60">
        <v>67</v>
      </c>
      <c r="J78" s="60">
        <v>513.3</v>
      </c>
      <c r="K78" s="98">
        <v>0.4806</v>
      </c>
      <c r="L78" s="98">
        <v>0.5194</v>
      </c>
      <c r="M78" s="60"/>
      <c r="O78">
        <f t="shared" si="2"/>
        <v>36</v>
      </c>
    </row>
    <row r="79" spans="1:15">
      <c r="A79" s="60">
        <v>20903</v>
      </c>
      <c r="B79" s="60" t="s">
        <v>120</v>
      </c>
      <c r="C79" s="60">
        <v>33</v>
      </c>
      <c r="D79" s="60">
        <v>474.1</v>
      </c>
      <c r="E79" s="60">
        <v>18</v>
      </c>
      <c r="F79" s="60">
        <v>286.4</v>
      </c>
      <c r="G79" s="60">
        <v>5</v>
      </c>
      <c r="H79" s="60">
        <v>0</v>
      </c>
      <c r="I79" s="60">
        <v>56</v>
      </c>
      <c r="J79" s="60">
        <v>760.5</v>
      </c>
      <c r="K79" s="98">
        <v>0.6234</v>
      </c>
      <c r="L79" s="98">
        <v>0.3766</v>
      </c>
      <c r="M79" s="60"/>
      <c r="O79">
        <f t="shared" si="2"/>
        <v>51</v>
      </c>
    </row>
    <row r="80" spans="1:15">
      <c r="A80" s="60">
        <v>22247</v>
      </c>
      <c r="B80" s="60" t="s">
        <v>282</v>
      </c>
      <c r="C80" s="60">
        <v>16</v>
      </c>
      <c r="D80" s="60">
        <v>216.3</v>
      </c>
      <c r="E80" s="60">
        <v>9</v>
      </c>
      <c r="F80" s="60">
        <v>132.2</v>
      </c>
      <c r="G80" s="60">
        <v>1</v>
      </c>
      <c r="H80" s="60">
        <v>0</v>
      </c>
      <c r="I80" s="60">
        <v>26</v>
      </c>
      <c r="J80" s="60">
        <v>348.5</v>
      </c>
      <c r="K80" s="98">
        <v>0.6207</v>
      </c>
      <c r="L80" s="98">
        <v>0.3793</v>
      </c>
      <c r="M80" s="60"/>
      <c r="O80">
        <f t="shared" si="2"/>
        <v>25</v>
      </c>
    </row>
    <row r="81" spans="1:15">
      <c r="A81" s="60">
        <v>22258</v>
      </c>
      <c r="B81" s="60" t="s">
        <v>167</v>
      </c>
      <c r="C81" s="60">
        <v>47</v>
      </c>
      <c r="D81" s="60">
        <v>364</v>
      </c>
      <c r="E81" s="60">
        <v>52</v>
      </c>
      <c r="F81" s="60">
        <v>416</v>
      </c>
      <c r="G81" s="60">
        <v>0</v>
      </c>
      <c r="H81" s="60">
        <v>0</v>
      </c>
      <c r="I81" s="60">
        <v>99</v>
      </c>
      <c r="J81" s="60">
        <v>780</v>
      </c>
      <c r="K81" s="98">
        <v>0.4667</v>
      </c>
      <c r="L81" s="98">
        <v>0.5333</v>
      </c>
      <c r="M81" s="60"/>
      <c r="O81">
        <f t="shared" si="2"/>
        <v>99</v>
      </c>
    </row>
    <row r="82" spans="1:15">
      <c r="A82" s="60">
        <v>22219</v>
      </c>
      <c r="B82" s="60" t="s">
        <v>283</v>
      </c>
      <c r="C82" s="60">
        <v>24</v>
      </c>
      <c r="D82" s="60">
        <v>354.5</v>
      </c>
      <c r="E82" s="60">
        <v>16</v>
      </c>
      <c r="F82" s="60">
        <v>241.8</v>
      </c>
      <c r="G82" s="60">
        <v>0</v>
      </c>
      <c r="H82" s="60">
        <v>0</v>
      </c>
      <c r="I82" s="60">
        <v>40</v>
      </c>
      <c r="J82" s="60">
        <v>596.3</v>
      </c>
      <c r="K82" s="98">
        <v>0.5945</v>
      </c>
      <c r="L82" s="98">
        <v>0.4055</v>
      </c>
      <c r="M82" s="60"/>
      <c r="O82">
        <f t="shared" si="2"/>
        <v>40</v>
      </c>
    </row>
    <row r="83" spans="1:15">
      <c r="A83" s="60">
        <v>35948</v>
      </c>
      <c r="B83" s="60" t="s">
        <v>284</v>
      </c>
      <c r="C83" s="60">
        <v>39</v>
      </c>
      <c r="D83" s="60">
        <v>413.5</v>
      </c>
      <c r="E83" s="60">
        <v>44</v>
      </c>
      <c r="F83" s="60">
        <v>509</v>
      </c>
      <c r="G83" s="60">
        <v>2</v>
      </c>
      <c r="H83" s="60">
        <v>0</v>
      </c>
      <c r="I83" s="60">
        <v>85</v>
      </c>
      <c r="J83" s="60">
        <v>922.5</v>
      </c>
      <c r="K83" s="98">
        <v>0.4482</v>
      </c>
      <c r="L83" s="98">
        <v>0.5518</v>
      </c>
      <c r="M83" s="60"/>
      <c r="O83">
        <f t="shared" si="2"/>
        <v>83</v>
      </c>
    </row>
    <row r="84" spans="1:15">
      <c r="A84" s="60">
        <v>22462</v>
      </c>
      <c r="B84" s="60" t="s">
        <v>178</v>
      </c>
      <c r="C84" s="60">
        <v>17</v>
      </c>
      <c r="D84" s="60">
        <v>75.85</v>
      </c>
      <c r="E84" s="60">
        <v>0</v>
      </c>
      <c r="F84" s="60">
        <v>0</v>
      </c>
      <c r="G84" s="60">
        <v>0</v>
      </c>
      <c r="H84" s="60">
        <v>0</v>
      </c>
      <c r="I84" s="60">
        <v>17</v>
      </c>
      <c r="J84" s="60">
        <v>75.85</v>
      </c>
      <c r="K84" s="98">
        <v>1</v>
      </c>
      <c r="L84" s="98">
        <v>0</v>
      </c>
      <c r="M84" s="60"/>
      <c r="O84">
        <f t="shared" si="2"/>
        <v>17</v>
      </c>
    </row>
    <row r="85" spans="1:15">
      <c r="A85" s="60">
        <v>36601</v>
      </c>
      <c r="B85" s="60" t="s">
        <v>285</v>
      </c>
      <c r="C85" s="60">
        <v>13</v>
      </c>
      <c r="D85" s="60">
        <v>176.8</v>
      </c>
      <c r="E85" s="60">
        <v>9</v>
      </c>
      <c r="F85" s="60">
        <v>143.2</v>
      </c>
      <c r="G85" s="60">
        <v>1</v>
      </c>
      <c r="H85" s="60">
        <v>0</v>
      </c>
      <c r="I85" s="60">
        <v>23</v>
      </c>
      <c r="J85" s="60">
        <v>320</v>
      </c>
      <c r="K85" s="98">
        <v>0.5525</v>
      </c>
      <c r="L85" s="98">
        <v>0.4475</v>
      </c>
      <c r="M85" s="60"/>
      <c r="O85">
        <f t="shared" si="2"/>
        <v>22</v>
      </c>
    </row>
    <row r="86" spans="1:15">
      <c r="A86" s="60">
        <v>23400</v>
      </c>
      <c r="B86" s="60" t="s">
        <v>40</v>
      </c>
      <c r="C86" s="60">
        <v>42</v>
      </c>
      <c r="D86" s="60">
        <v>267</v>
      </c>
      <c r="E86" s="60">
        <v>15</v>
      </c>
      <c r="F86" s="60">
        <v>89</v>
      </c>
      <c r="G86" s="60">
        <v>8</v>
      </c>
      <c r="H86" s="60">
        <v>0</v>
      </c>
      <c r="I86" s="60">
        <v>65</v>
      </c>
      <c r="J86" s="60">
        <v>356</v>
      </c>
      <c r="K86" s="98">
        <v>0.75</v>
      </c>
      <c r="L86" s="98">
        <v>0.25</v>
      </c>
      <c r="M86" s="60"/>
      <c r="O86">
        <f t="shared" si="2"/>
        <v>57</v>
      </c>
    </row>
    <row r="87" spans="1:15">
      <c r="A87" s="60">
        <v>23399</v>
      </c>
      <c r="B87" s="60" t="s">
        <v>38</v>
      </c>
      <c r="C87" s="60">
        <v>20</v>
      </c>
      <c r="D87" s="60">
        <v>205.2</v>
      </c>
      <c r="E87" s="60">
        <v>20</v>
      </c>
      <c r="F87" s="60">
        <v>202.8</v>
      </c>
      <c r="G87" s="60">
        <v>2</v>
      </c>
      <c r="H87" s="60">
        <v>0</v>
      </c>
      <c r="I87" s="60">
        <v>42</v>
      </c>
      <c r="J87" s="60">
        <v>408</v>
      </c>
      <c r="K87" s="98">
        <v>0.5029</v>
      </c>
      <c r="L87" s="98">
        <v>0.4971</v>
      </c>
      <c r="M87" s="60"/>
      <c r="O87">
        <f t="shared" si="2"/>
        <v>40</v>
      </c>
    </row>
    <row r="88" spans="1:15">
      <c r="A88" s="60">
        <v>18890</v>
      </c>
      <c r="B88" s="60" t="s">
        <v>286</v>
      </c>
      <c r="C88" s="60">
        <v>29</v>
      </c>
      <c r="D88" s="60">
        <v>292.04</v>
      </c>
      <c r="E88" s="60">
        <v>28</v>
      </c>
      <c r="F88" s="60">
        <v>273.6</v>
      </c>
      <c r="G88" s="60">
        <v>1</v>
      </c>
      <c r="H88" s="60">
        <v>0</v>
      </c>
      <c r="I88" s="60">
        <v>58</v>
      </c>
      <c r="J88" s="60">
        <v>565.64</v>
      </c>
      <c r="K88" s="98">
        <v>0.5163</v>
      </c>
      <c r="L88" s="98">
        <v>0.4837</v>
      </c>
      <c r="M88" s="60"/>
      <c r="O88">
        <f t="shared" si="2"/>
        <v>57</v>
      </c>
    </row>
    <row r="89" spans="1:15">
      <c r="A89" s="60">
        <v>19823</v>
      </c>
      <c r="B89" s="60" t="s">
        <v>287</v>
      </c>
      <c r="C89" s="60">
        <v>0</v>
      </c>
      <c r="D89" s="60">
        <v>0</v>
      </c>
      <c r="E89" s="60">
        <v>11</v>
      </c>
      <c r="F89" s="60">
        <v>50</v>
      </c>
      <c r="G89" s="60">
        <v>2</v>
      </c>
      <c r="H89" s="60">
        <v>0</v>
      </c>
      <c r="I89" s="60">
        <v>13</v>
      </c>
      <c r="J89" s="60">
        <v>50</v>
      </c>
      <c r="K89" s="98">
        <v>0</v>
      </c>
      <c r="L89" s="98">
        <v>1</v>
      </c>
      <c r="M89" s="60"/>
      <c r="O89">
        <f t="shared" si="2"/>
        <v>11</v>
      </c>
    </row>
    <row r="90" spans="1:15">
      <c r="A90" s="60">
        <v>23395</v>
      </c>
      <c r="B90" s="60" t="s">
        <v>168</v>
      </c>
      <c r="C90" s="60">
        <v>2</v>
      </c>
      <c r="D90" s="60">
        <v>8</v>
      </c>
      <c r="E90" s="60">
        <v>1</v>
      </c>
      <c r="F90" s="60">
        <v>8</v>
      </c>
      <c r="G90" s="60">
        <v>1</v>
      </c>
      <c r="H90" s="60">
        <v>0</v>
      </c>
      <c r="I90" s="60">
        <v>4</v>
      </c>
      <c r="J90" s="60">
        <v>16</v>
      </c>
      <c r="K90" s="98">
        <v>0.5</v>
      </c>
      <c r="L90" s="98">
        <v>0.5</v>
      </c>
      <c r="M90" s="60"/>
      <c r="O90">
        <f t="shared" si="2"/>
        <v>3</v>
      </c>
    </row>
    <row r="91" spans="1:15">
      <c r="A91" s="60">
        <v>39288</v>
      </c>
      <c r="B91" s="60" t="s">
        <v>55</v>
      </c>
      <c r="C91" s="60">
        <v>0</v>
      </c>
      <c r="D91" s="60">
        <v>0</v>
      </c>
      <c r="E91" s="60">
        <v>20</v>
      </c>
      <c r="F91" s="60">
        <v>169</v>
      </c>
      <c r="G91" s="60">
        <v>0</v>
      </c>
      <c r="H91" s="60">
        <v>0</v>
      </c>
      <c r="I91" s="60">
        <v>20</v>
      </c>
      <c r="J91" s="60">
        <v>169</v>
      </c>
      <c r="K91" s="98">
        <v>0</v>
      </c>
      <c r="L91" s="98">
        <v>1</v>
      </c>
      <c r="M91" s="60"/>
      <c r="O91">
        <f t="shared" si="2"/>
        <v>20</v>
      </c>
    </row>
    <row r="92" spans="1:15">
      <c r="A92" s="60">
        <v>39289</v>
      </c>
      <c r="B92" s="60" t="s">
        <v>56</v>
      </c>
      <c r="C92" s="60">
        <v>0</v>
      </c>
      <c r="D92" s="60">
        <v>0</v>
      </c>
      <c r="E92" s="60">
        <v>30</v>
      </c>
      <c r="F92" s="60">
        <v>269</v>
      </c>
      <c r="G92" s="60">
        <v>0</v>
      </c>
      <c r="H92" s="60">
        <v>0</v>
      </c>
      <c r="I92" s="60">
        <v>30</v>
      </c>
      <c r="J92" s="60">
        <v>269</v>
      </c>
      <c r="K92" s="98">
        <v>0</v>
      </c>
      <c r="L92" s="98">
        <v>1</v>
      </c>
      <c r="M92" s="60"/>
      <c r="O92">
        <f t="shared" si="2"/>
        <v>30</v>
      </c>
    </row>
    <row r="93" spans="1:15">
      <c r="A93" s="60">
        <v>37604</v>
      </c>
      <c r="B93" s="60" t="s">
        <v>50</v>
      </c>
      <c r="C93" s="60">
        <v>0</v>
      </c>
      <c r="D93" s="60">
        <v>0</v>
      </c>
      <c r="E93" s="60">
        <v>40</v>
      </c>
      <c r="F93" s="60">
        <v>151.5</v>
      </c>
      <c r="G93" s="60">
        <v>2</v>
      </c>
      <c r="H93" s="60">
        <v>0</v>
      </c>
      <c r="I93" s="60">
        <v>42</v>
      </c>
      <c r="J93" s="60">
        <v>151.5</v>
      </c>
      <c r="K93" s="98">
        <v>0</v>
      </c>
      <c r="L93" s="98">
        <v>1</v>
      </c>
      <c r="M93" s="60"/>
      <c r="O93">
        <f t="shared" si="2"/>
        <v>40</v>
      </c>
    </row>
    <row r="94" spans="1:15">
      <c r="A94" s="60">
        <v>22176</v>
      </c>
      <c r="B94" s="60" t="s">
        <v>69</v>
      </c>
      <c r="C94" s="60">
        <v>19</v>
      </c>
      <c r="D94" s="60">
        <v>259.7</v>
      </c>
      <c r="E94" s="60">
        <v>8</v>
      </c>
      <c r="F94" s="60">
        <v>115.4</v>
      </c>
      <c r="G94" s="60">
        <v>0</v>
      </c>
      <c r="H94" s="60">
        <v>0</v>
      </c>
      <c r="I94" s="60">
        <v>27</v>
      </c>
      <c r="J94" s="60">
        <v>375.1</v>
      </c>
      <c r="K94" s="98">
        <v>0.6923</v>
      </c>
      <c r="L94" s="98">
        <v>0.3077</v>
      </c>
      <c r="M94" s="60"/>
      <c r="O94">
        <f t="shared" si="2"/>
        <v>27</v>
      </c>
    </row>
    <row r="95" spans="1:15">
      <c r="A95" s="60">
        <v>33685</v>
      </c>
      <c r="B95" s="60" t="s">
        <v>215</v>
      </c>
      <c r="C95" s="60">
        <v>6</v>
      </c>
      <c r="D95" s="60">
        <v>92.4</v>
      </c>
      <c r="E95" s="60">
        <v>5</v>
      </c>
      <c r="F95" s="60">
        <v>72</v>
      </c>
      <c r="G95" s="60">
        <v>0</v>
      </c>
      <c r="H95" s="60">
        <v>0</v>
      </c>
      <c r="I95" s="60">
        <v>11</v>
      </c>
      <c r="J95" s="60">
        <v>164.4</v>
      </c>
      <c r="K95" s="98">
        <v>0.562</v>
      </c>
      <c r="L95" s="98">
        <v>0.438</v>
      </c>
      <c r="M95" s="60"/>
      <c r="O95">
        <f t="shared" si="2"/>
        <v>11</v>
      </c>
    </row>
    <row r="96" spans="1:15">
      <c r="A96" s="60">
        <v>52944</v>
      </c>
      <c r="B96" s="60" t="s">
        <v>104</v>
      </c>
      <c r="C96" s="60">
        <v>24</v>
      </c>
      <c r="D96" s="60">
        <v>316.6</v>
      </c>
      <c r="E96" s="60">
        <v>13</v>
      </c>
      <c r="F96" s="60">
        <v>212.4</v>
      </c>
      <c r="G96" s="60">
        <v>1</v>
      </c>
      <c r="H96" s="60">
        <v>0</v>
      </c>
      <c r="I96" s="60">
        <v>38</v>
      </c>
      <c r="J96" s="60">
        <v>529</v>
      </c>
      <c r="K96" s="98">
        <v>0.5985</v>
      </c>
      <c r="L96" s="98">
        <v>0.4015</v>
      </c>
      <c r="M96" s="60"/>
      <c r="O96">
        <f t="shared" si="2"/>
        <v>37</v>
      </c>
    </row>
    <row r="97" spans="1:15">
      <c r="A97" s="60">
        <v>52943</v>
      </c>
      <c r="B97" s="60" t="s">
        <v>103</v>
      </c>
      <c r="C97" s="60">
        <v>6</v>
      </c>
      <c r="D97" s="60">
        <v>94.9</v>
      </c>
      <c r="E97" s="60">
        <v>3</v>
      </c>
      <c r="F97" s="60">
        <v>49.4</v>
      </c>
      <c r="G97" s="60">
        <v>1</v>
      </c>
      <c r="H97" s="60">
        <v>0</v>
      </c>
      <c r="I97" s="60">
        <v>10</v>
      </c>
      <c r="J97" s="60">
        <v>144.3</v>
      </c>
      <c r="K97" s="98">
        <v>0.6577</v>
      </c>
      <c r="L97" s="98">
        <v>0.3423</v>
      </c>
      <c r="M97" s="60"/>
      <c r="O97">
        <f t="shared" si="2"/>
        <v>9</v>
      </c>
    </row>
    <row r="98" spans="1:15">
      <c r="A98" s="60">
        <v>52942</v>
      </c>
      <c r="B98" s="60" t="s">
        <v>101</v>
      </c>
      <c r="C98" s="60">
        <v>4</v>
      </c>
      <c r="D98" s="60">
        <v>61.3</v>
      </c>
      <c r="E98" s="60">
        <v>4</v>
      </c>
      <c r="F98" s="60">
        <v>70.2</v>
      </c>
      <c r="G98" s="60">
        <v>0</v>
      </c>
      <c r="H98" s="60">
        <v>0</v>
      </c>
      <c r="I98" s="60">
        <v>8</v>
      </c>
      <c r="J98" s="60">
        <v>131.5</v>
      </c>
      <c r="K98" s="98">
        <v>0.4662</v>
      </c>
      <c r="L98" s="98">
        <v>0.5338</v>
      </c>
      <c r="M98" s="60"/>
      <c r="O98">
        <f t="shared" si="2"/>
        <v>8</v>
      </c>
    </row>
    <row r="99" spans="1:15">
      <c r="A99" s="60">
        <v>52941</v>
      </c>
      <c r="B99" s="60" t="s">
        <v>102</v>
      </c>
      <c r="C99" s="60">
        <v>6</v>
      </c>
      <c r="D99" s="60">
        <v>94.8</v>
      </c>
      <c r="E99" s="60">
        <v>3</v>
      </c>
      <c r="F99" s="60">
        <v>51.4</v>
      </c>
      <c r="G99" s="60">
        <v>0</v>
      </c>
      <c r="H99" s="60">
        <v>0</v>
      </c>
      <c r="I99" s="60">
        <v>9</v>
      </c>
      <c r="J99" s="60">
        <v>146.2</v>
      </c>
      <c r="K99" s="98">
        <v>0.6484</v>
      </c>
      <c r="L99" s="98">
        <v>0.3516</v>
      </c>
      <c r="M99" s="60"/>
      <c r="O99">
        <f t="shared" ref="O99:O130" si="3">I99-G99-H99</f>
        <v>9</v>
      </c>
    </row>
    <row r="100" spans="1:15">
      <c r="A100" s="60">
        <v>52938</v>
      </c>
      <c r="B100" s="60" t="s">
        <v>90</v>
      </c>
      <c r="C100" s="60">
        <v>27</v>
      </c>
      <c r="D100" s="60">
        <v>365</v>
      </c>
      <c r="E100" s="60">
        <v>15</v>
      </c>
      <c r="F100" s="60">
        <v>252</v>
      </c>
      <c r="G100" s="60">
        <v>3</v>
      </c>
      <c r="H100" s="60">
        <v>0</v>
      </c>
      <c r="I100" s="60">
        <v>45</v>
      </c>
      <c r="J100" s="60">
        <v>617</v>
      </c>
      <c r="K100" s="98">
        <v>0.5916</v>
      </c>
      <c r="L100" s="98">
        <v>0.4084</v>
      </c>
      <c r="M100" s="60"/>
      <c r="O100">
        <f t="shared" si="3"/>
        <v>42</v>
      </c>
    </row>
    <row r="101" spans="1:15">
      <c r="A101" s="60">
        <v>52339</v>
      </c>
      <c r="B101" s="60" t="s">
        <v>89</v>
      </c>
      <c r="C101" s="60">
        <v>19</v>
      </c>
      <c r="D101" s="60">
        <v>265.2</v>
      </c>
      <c r="E101" s="60">
        <v>16</v>
      </c>
      <c r="F101" s="60">
        <v>260.8</v>
      </c>
      <c r="G101" s="60">
        <v>0</v>
      </c>
      <c r="H101" s="60">
        <v>0</v>
      </c>
      <c r="I101" s="60">
        <v>35</v>
      </c>
      <c r="J101" s="60">
        <v>526</v>
      </c>
      <c r="K101" s="98">
        <v>0.5042</v>
      </c>
      <c r="L101" s="98">
        <v>0.4958</v>
      </c>
      <c r="M101" s="60"/>
      <c r="O101">
        <f t="shared" si="3"/>
        <v>35</v>
      </c>
    </row>
    <row r="102" spans="1:15">
      <c r="A102" s="60">
        <v>51776</v>
      </c>
      <c r="B102" s="60" t="s">
        <v>24</v>
      </c>
      <c r="C102" s="60">
        <v>151</v>
      </c>
      <c r="D102" s="60">
        <v>1701.14</v>
      </c>
      <c r="E102" s="60">
        <v>257</v>
      </c>
      <c r="F102" s="60">
        <v>2993.6</v>
      </c>
      <c r="G102" s="60">
        <v>3</v>
      </c>
      <c r="H102" s="60">
        <v>0</v>
      </c>
      <c r="I102" s="60">
        <v>411</v>
      </c>
      <c r="J102" s="60">
        <v>4694.74</v>
      </c>
      <c r="K102" s="98">
        <v>0.3624</v>
      </c>
      <c r="L102" s="98">
        <v>0.6376</v>
      </c>
      <c r="M102" s="60"/>
      <c r="O102">
        <f t="shared" si="3"/>
        <v>408</v>
      </c>
    </row>
    <row r="103" spans="1:15">
      <c r="A103" s="60">
        <v>59480</v>
      </c>
      <c r="B103" s="60" t="s">
        <v>148</v>
      </c>
      <c r="C103" s="60">
        <v>8</v>
      </c>
      <c r="D103" s="60">
        <v>114.6</v>
      </c>
      <c r="E103" s="60">
        <v>7</v>
      </c>
      <c r="F103" s="60">
        <v>123.6</v>
      </c>
      <c r="G103" s="60">
        <v>0</v>
      </c>
      <c r="H103" s="60">
        <v>0</v>
      </c>
      <c r="I103" s="60">
        <v>15</v>
      </c>
      <c r="J103" s="60">
        <v>238.2</v>
      </c>
      <c r="K103" s="98">
        <v>0.4811</v>
      </c>
      <c r="L103" s="98">
        <v>0.5189</v>
      </c>
      <c r="M103" s="60"/>
      <c r="O103">
        <f t="shared" si="3"/>
        <v>15</v>
      </c>
    </row>
    <row r="104" spans="1:15">
      <c r="A104" s="60">
        <v>59479</v>
      </c>
      <c r="B104" s="60" t="s">
        <v>147</v>
      </c>
      <c r="C104" s="60">
        <v>12</v>
      </c>
      <c r="D104" s="60">
        <v>188.3</v>
      </c>
      <c r="E104" s="60">
        <v>10</v>
      </c>
      <c r="F104" s="60">
        <v>174</v>
      </c>
      <c r="G104" s="60">
        <v>0</v>
      </c>
      <c r="H104" s="60">
        <v>0</v>
      </c>
      <c r="I104" s="60">
        <v>22</v>
      </c>
      <c r="J104" s="60">
        <v>362.3</v>
      </c>
      <c r="K104" s="98">
        <v>0.5197</v>
      </c>
      <c r="L104" s="98">
        <v>0.4803</v>
      </c>
      <c r="M104" s="60"/>
      <c r="O104">
        <f t="shared" si="3"/>
        <v>22</v>
      </c>
    </row>
    <row r="105" spans="1:15">
      <c r="A105" s="60">
        <v>62546</v>
      </c>
      <c r="B105" s="60" t="s">
        <v>169</v>
      </c>
      <c r="C105" s="60">
        <v>2</v>
      </c>
      <c r="D105" s="60">
        <v>16</v>
      </c>
      <c r="E105" s="60">
        <v>8</v>
      </c>
      <c r="F105" s="60">
        <v>64</v>
      </c>
      <c r="G105" s="60">
        <v>0</v>
      </c>
      <c r="H105" s="60">
        <v>0</v>
      </c>
      <c r="I105" s="60">
        <v>10</v>
      </c>
      <c r="J105" s="60">
        <v>80</v>
      </c>
      <c r="K105" s="98">
        <v>0.2</v>
      </c>
      <c r="L105" s="98">
        <v>0.8</v>
      </c>
      <c r="M105" s="60"/>
      <c r="O105">
        <f t="shared" si="3"/>
        <v>10</v>
      </c>
    </row>
    <row r="106" spans="1:15">
      <c r="A106" s="60">
        <v>66130</v>
      </c>
      <c r="B106" s="60" t="s">
        <v>171</v>
      </c>
      <c r="C106" s="60">
        <v>18</v>
      </c>
      <c r="D106" s="60">
        <v>183.5</v>
      </c>
      <c r="E106" s="60">
        <v>12</v>
      </c>
      <c r="F106" s="60">
        <v>133.2</v>
      </c>
      <c r="G106" s="60">
        <v>0</v>
      </c>
      <c r="H106" s="60">
        <v>0</v>
      </c>
      <c r="I106" s="60">
        <v>30</v>
      </c>
      <c r="J106" s="60">
        <v>316.7</v>
      </c>
      <c r="K106" s="98">
        <v>0.5794</v>
      </c>
      <c r="L106" s="98">
        <v>0.4206</v>
      </c>
      <c r="M106" s="60"/>
      <c r="O106">
        <f t="shared" si="3"/>
        <v>30</v>
      </c>
    </row>
    <row r="107" spans="1:15">
      <c r="A107" s="60">
        <v>66334</v>
      </c>
      <c r="B107" s="60" t="s">
        <v>288</v>
      </c>
      <c r="C107" s="60">
        <v>8</v>
      </c>
      <c r="D107" s="60">
        <v>126.4</v>
      </c>
      <c r="E107" s="60">
        <v>6</v>
      </c>
      <c r="F107" s="60">
        <v>89.8</v>
      </c>
      <c r="G107" s="60">
        <v>0</v>
      </c>
      <c r="H107" s="60">
        <v>0</v>
      </c>
      <c r="I107" s="60">
        <v>14</v>
      </c>
      <c r="J107" s="60">
        <v>216.2</v>
      </c>
      <c r="K107" s="98">
        <v>0.5846</v>
      </c>
      <c r="L107" s="98">
        <v>0.4154</v>
      </c>
      <c r="M107" s="60"/>
      <c r="O107">
        <f t="shared" si="3"/>
        <v>14</v>
      </c>
    </row>
    <row r="108" spans="1:15">
      <c r="A108" s="60">
        <v>66332</v>
      </c>
      <c r="B108" s="60" t="s">
        <v>289</v>
      </c>
      <c r="C108" s="60">
        <v>2</v>
      </c>
      <c r="D108" s="60">
        <v>33.6</v>
      </c>
      <c r="E108" s="60">
        <v>3</v>
      </c>
      <c r="F108" s="60">
        <v>43.4</v>
      </c>
      <c r="G108" s="60">
        <v>0</v>
      </c>
      <c r="H108" s="60">
        <v>0</v>
      </c>
      <c r="I108" s="60">
        <v>5</v>
      </c>
      <c r="J108" s="60">
        <v>77</v>
      </c>
      <c r="K108" s="98">
        <v>0.4364</v>
      </c>
      <c r="L108" s="98">
        <v>0.5636</v>
      </c>
      <c r="M108" s="60"/>
      <c r="O108">
        <f t="shared" si="3"/>
        <v>5</v>
      </c>
    </row>
    <row r="109" spans="1:15">
      <c r="A109" s="60">
        <v>66333</v>
      </c>
      <c r="B109" s="60" t="s">
        <v>142</v>
      </c>
      <c r="C109" s="60">
        <v>9</v>
      </c>
      <c r="D109" s="60">
        <v>116.5</v>
      </c>
      <c r="E109" s="60">
        <v>7</v>
      </c>
      <c r="F109" s="60">
        <v>110.6</v>
      </c>
      <c r="G109" s="60">
        <v>0</v>
      </c>
      <c r="H109" s="60">
        <v>0</v>
      </c>
      <c r="I109" s="60">
        <v>16</v>
      </c>
      <c r="J109" s="60">
        <v>227.1</v>
      </c>
      <c r="K109" s="98">
        <v>0.513</v>
      </c>
      <c r="L109" s="98">
        <v>0.487</v>
      </c>
      <c r="M109" s="60"/>
      <c r="O109">
        <f t="shared" si="3"/>
        <v>16</v>
      </c>
    </row>
    <row r="110" spans="1:15">
      <c r="A110" s="60">
        <v>67236</v>
      </c>
      <c r="B110" s="60" t="s">
        <v>141</v>
      </c>
      <c r="C110" s="60">
        <v>10</v>
      </c>
      <c r="D110" s="60">
        <v>129.3</v>
      </c>
      <c r="E110" s="60">
        <v>4</v>
      </c>
      <c r="F110" s="60">
        <v>61.2</v>
      </c>
      <c r="G110" s="60">
        <v>0</v>
      </c>
      <c r="H110" s="60">
        <v>0</v>
      </c>
      <c r="I110" s="60">
        <v>14</v>
      </c>
      <c r="J110" s="60">
        <v>190.5</v>
      </c>
      <c r="K110" s="98">
        <v>0.6787</v>
      </c>
      <c r="L110" s="98">
        <v>0.3213</v>
      </c>
      <c r="M110" s="60"/>
      <c r="O110">
        <f t="shared" si="3"/>
        <v>14</v>
      </c>
    </row>
    <row r="111" spans="1:15">
      <c r="A111" s="60">
        <v>71811</v>
      </c>
      <c r="B111" s="60" t="s">
        <v>126</v>
      </c>
      <c r="C111" s="60">
        <v>42</v>
      </c>
      <c r="D111" s="60">
        <v>619</v>
      </c>
      <c r="E111" s="60">
        <v>25</v>
      </c>
      <c r="F111" s="60">
        <v>420</v>
      </c>
      <c r="G111" s="60">
        <v>0</v>
      </c>
      <c r="H111" s="60">
        <v>0</v>
      </c>
      <c r="I111" s="60">
        <v>67</v>
      </c>
      <c r="J111" s="60">
        <v>1039</v>
      </c>
      <c r="K111" s="98">
        <v>0.5958</v>
      </c>
      <c r="L111" s="98">
        <v>0.4042</v>
      </c>
      <c r="M111" s="60"/>
      <c r="O111">
        <f t="shared" si="3"/>
        <v>67</v>
      </c>
    </row>
    <row r="112" spans="1:15">
      <c r="A112" s="60">
        <v>67235</v>
      </c>
      <c r="B112" s="60" t="s">
        <v>172</v>
      </c>
      <c r="C112" s="60">
        <v>29</v>
      </c>
      <c r="D112" s="60">
        <v>326.88</v>
      </c>
      <c r="E112" s="60">
        <v>21</v>
      </c>
      <c r="F112" s="60">
        <v>262</v>
      </c>
      <c r="G112" s="60">
        <v>0</v>
      </c>
      <c r="H112" s="60">
        <v>0</v>
      </c>
      <c r="I112" s="60">
        <v>50</v>
      </c>
      <c r="J112" s="60">
        <v>588.88</v>
      </c>
      <c r="K112" s="98">
        <v>0.5551</v>
      </c>
      <c r="L112" s="98">
        <v>0.4449</v>
      </c>
      <c r="M112" s="60"/>
      <c r="O112">
        <f t="shared" si="3"/>
        <v>50</v>
      </c>
    </row>
    <row r="113" spans="1:15">
      <c r="A113" s="60">
        <v>68720</v>
      </c>
      <c r="B113" s="60" t="s">
        <v>290</v>
      </c>
      <c r="C113" s="60">
        <v>20</v>
      </c>
      <c r="D113" s="60">
        <v>211.2</v>
      </c>
      <c r="E113" s="60">
        <v>14</v>
      </c>
      <c r="F113" s="60">
        <v>165.2</v>
      </c>
      <c r="G113" s="60">
        <v>2</v>
      </c>
      <c r="H113" s="60">
        <v>0</v>
      </c>
      <c r="I113" s="60">
        <v>36</v>
      </c>
      <c r="J113" s="60">
        <v>376.4</v>
      </c>
      <c r="K113" s="98">
        <v>0.5611</v>
      </c>
      <c r="L113" s="98">
        <v>0.4389</v>
      </c>
      <c r="M113" s="60"/>
      <c r="O113">
        <f t="shared" si="3"/>
        <v>34</v>
      </c>
    </row>
    <row r="114" spans="1:15">
      <c r="A114" s="60">
        <v>68721</v>
      </c>
      <c r="B114" s="60" t="s">
        <v>291</v>
      </c>
      <c r="C114" s="60">
        <v>21</v>
      </c>
      <c r="D114" s="60">
        <v>239.9</v>
      </c>
      <c r="E114" s="60">
        <v>3</v>
      </c>
      <c r="F114" s="60">
        <v>33.4</v>
      </c>
      <c r="G114" s="60">
        <v>4</v>
      </c>
      <c r="H114" s="60">
        <v>0</v>
      </c>
      <c r="I114" s="60">
        <v>28</v>
      </c>
      <c r="J114" s="60">
        <v>273.3</v>
      </c>
      <c r="K114" s="98">
        <v>0.8778</v>
      </c>
      <c r="L114" s="98">
        <v>0.1222</v>
      </c>
      <c r="M114" s="60"/>
      <c r="O114">
        <f t="shared" si="3"/>
        <v>24</v>
      </c>
    </row>
    <row r="115" spans="1:15">
      <c r="A115" s="60">
        <v>68716</v>
      </c>
      <c r="B115" s="60" t="s">
        <v>292</v>
      </c>
      <c r="C115" s="60">
        <v>24</v>
      </c>
      <c r="D115" s="60">
        <v>345.1</v>
      </c>
      <c r="E115" s="60">
        <v>7</v>
      </c>
      <c r="F115" s="60">
        <v>112.6</v>
      </c>
      <c r="G115" s="60">
        <v>1</v>
      </c>
      <c r="H115" s="60">
        <v>0</v>
      </c>
      <c r="I115" s="60">
        <v>32</v>
      </c>
      <c r="J115" s="60">
        <v>457.7</v>
      </c>
      <c r="K115" s="98">
        <v>0.754</v>
      </c>
      <c r="L115" s="98">
        <v>0.246</v>
      </c>
      <c r="M115" s="60"/>
      <c r="O115">
        <f t="shared" si="3"/>
        <v>31</v>
      </c>
    </row>
    <row r="116" spans="1:15">
      <c r="A116" s="60">
        <v>68723</v>
      </c>
      <c r="B116" s="60" t="s">
        <v>165</v>
      </c>
      <c r="C116" s="60">
        <v>31</v>
      </c>
      <c r="D116" s="60">
        <v>444.6</v>
      </c>
      <c r="E116" s="60">
        <v>14</v>
      </c>
      <c r="F116" s="60">
        <v>231.2</v>
      </c>
      <c r="G116" s="60">
        <v>0</v>
      </c>
      <c r="H116" s="60">
        <v>0</v>
      </c>
      <c r="I116" s="60">
        <v>45</v>
      </c>
      <c r="J116" s="60">
        <v>675.8</v>
      </c>
      <c r="K116" s="98">
        <v>0.6579</v>
      </c>
      <c r="L116" s="98">
        <v>0.3421</v>
      </c>
      <c r="M116" s="60"/>
      <c r="O116">
        <f t="shared" si="3"/>
        <v>45</v>
      </c>
    </row>
    <row r="117" spans="1:15">
      <c r="A117" s="60">
        <v>68722</v>
      </c>
      <c r="B117" s="60" t="s">
        <v>164</v>
      </c>
      <c r="C117" s="60">
        <v>23</v>
      </c>
      <c r="D117" s="60">
        <v>325.6</v>
      </c>
      <c r="E117" s="60">
        <v>3</v>
      </c>
      <c r="F117" s="60">
        <v>50.4</v>
      </c>
      <c r="G117" s="60">
        <v>0</v>
      </c>
      <c r="H117" s="60">
        <v>0</v>
      </c>
      <c r="I117" s="60">
        <v>26</v>
      </c>
      <c r="J117" s="60">
        <v>376</v>
      </c>
      <c r="K117" s="98">
        <v>0.866</v>
      </c>
      <c r="L117" s="98">
        <v>0.134</v>
      </c>
      <c r="M117" s="60"/>
      <c r="O117">
        <f t="shared" si="3"/>
        <v>26</v>
      </c>
    </row>
    <row r="118" spans="1:15">
      <c r="A118" s="60">
        <v>68719</v>
      </c>
      <c r="B118" s="60" t="s">
        <v>293</v>
      </c>
      <c r="C118" s="60">
        <v>1</v>
      </c>
      <c r="D118" s="60">
        <v>3</v>
      </c>
      <c r="E118" s="60">
        <v>63</v>
      </c>
      <c r="F118" s="60">
        <v>189</v>
      </c>
      <c r="G118" s="60">
        <v>2</v>
      </c>
      <c r="H118" s="60">
        <v>0</v>
      </c>
      <c r="I118" s="60">
        <v>66</v>
      </c>
      <c r="J118" s="60">
        <v>192</v>
      </c>
      <c r="K118" s="98">
        <v>0.0156</v>
      </c>
      <c r="L118" s="98">
        <v>0.9844</v>
      </c>
      <c r="M118" s="60"/>
      <c r="O118">
        <f t="shared" si="3"/>
        <v>64</v>
      </c>
    </row>
    <row r="119" spans="1:15">
      <c r="A119" s="60">
        <v>68718</v>
      </c>
      <c r="B119" s="60" t="s">
        <v>294</v>
      </c>
      <c r="C119" s="60">
        <v>18</v>
      </c>
      <c r="D119" s="60">
        <v>205.08</v>
      </c>
      <c r="E119" s="60">
        <v>4</v>
      </c>
      <c r="F119" s="60">
        <v>41.6</v>
      </c>
      <c r="G119" s="60">
        <v>0</v>
      </c>
      <c r="H119" s="60">
        <v>0</v>
      </c>
      <c r="I119" s="60">
        <v>22</v>
      </c>
      <c r="J119" s="60">
        <v>246.68</v>
      </c>
      <c r="K119" s="98">
        <v>0.8314</v>
      </c>
      <c r="L119" s="98">
        <v>0.1686</v>
      </c>
      <c r="M119" s="60"/>
      <c r="O119">
        <f t="shared" si="3"/>
        <v>22</v>
      </c>
    </row>
    <row r="120" spans="1:15">
      <c r="A120" s="60">
        <v>68714</v>
      </c>
      <c r="B120" s="60" t="s">
        <v>295</v>
      </c>
      <c r="C120" s="60">
        <v>27</v>
      </c>
      <c r="D120" s="60">
        <v>389.3</v>
      </c>
      <c r="E120" s="60">
        <v>13</v>
      </c>
      <c r="F120" s="60">
        <v>213.4</v>
      </c>
      <c r="G120" s="60">
        <v>1</v>
      </c>
      <c r="H120" s="60">
        <v>0</v>
      </c>
      <c r="I120" s="60">
        <v>41</v>
      </c>
      <c r="J120" s="60">
        <v>602.7</v>
      </c>
      <c r="K120" s="98">
        <v>0.6459</v>
      </c>
      <c r="L120" s="98">
        <v>0.3541</v>
      </c>
      <c r="M120" s="60"/>
      <c r="O120">
        <f t="shared" si="3"/>
        <v>40</v>
      </c>
    </row>
    <row r="121" spans="1:15">
      <c r="A121" s="60">
        <v>59045</v>
      </c>
      <c r="B121" s="60" t="s">
        <v>296</v>
      </c>
      <c r="C121" s="60">
        <v>0</v>
      </c>
      <c r="D121" s="60">
        <v>0</v>
      </c>
      <c r="E121" s="60">
        <v>0</v>
      </c>
      <c r="F121" s="60">
        <v>0</v>
      </c>
      <c r="G121" s="60">
        <v>2</v>
      </c>
      <c r="H121" s="60">
        <v>0</v>
      </c>
      <c r="I121" s="60">
        <v>2</v>
      </c>
      <c r="J121" s="60">
        <v>0</v>
      </c>
      <c r="K121" s="98">
        <v>0</v>
      </c>
      <c r="L121" s="98">
        <v>0</v>
      </c>
      <c r="M121" s="60"/>
      <c r="O121">
        <f t="shared" si="3"/>
        <v>0</v>
      </c>
    </row>
    <row r="122" spans="1:15">
      <c r="A122" s="60">
        <v>36035</v>
      </c>
      <c r="B122" s="60" t="s">
        <v>297</v>
      </c>
      <c r="C122" s="60">
        <v>0</v>
      </c>
      <c r="D122" s="60">
        <v>0</v>
      </c>
      <c r="E122" s="60">
        <v>13</v>
      </c>
      <c r="F122" s="60">
        <v>134.8</v>
      </c>
      <c r="G122" s="60">
        <v>1</v>
      </c>
      <c r="H122" s="60">
        <v>0</v>
      </c>
      <c r="I122" s="60">
        <v>14</v>
      </c>
      <c r="J122" s="60">
        <v>134.8</v>
      </c>
      <c r="K122" s="98">
        <v>0</v>
      </c>
      <c r="L122" s="98">
        <v>1</v>
      </c>
      <c r="M122" s="60"/>
      <c r="O122">
        <f t="shared" si="3"/>
        <v>13</v>
      </c>
    </row>
    <row r="123" spans="1:15">
      <c r="A123" s="60">
        <v>36393</v>
      </c>
      <c r="B123" s="60" t="s">
        <v>298</v>
      </c>
      <c r="C123" s="60">
        <v>0</v>
      </c>
      <c r="D123" s="60">
        <v>0</v>
      </c>
      <c r="E123" s="60">
        <v>15</v>
      </c>
      <c r="F123" s="60">
        <v>77.5</v>
      </c>
      <c r="G123" s="60">
        <v>0</v>
      </c>
      <c r="H123" s="60">
        <v>0</v>
      </c>
      <c r="I123" s="60">
        <v>15</v>
      </c>
      <c r="J123" s="60">
        <v>77.5</v>
      </c>
      <c r="K123" s="98">
        <v>0</v>
      </c>
      <c r="L123" s="98">
        <v>1</v>
      </c>
      <c r="M123" s="60"/>
      <c r="O123">
        <f t="shared" si="3"/>
        <v>15</v>
      </c>
    </row>
    <row r="124" spans="1:15">
      <c r="A124" s="60">
        <v>36530</v>
      </c>
      <c r="B124" s="60" t="s">
        <v>299</v>
      </c>
      <c r="C124" s="60">
        <v>0</v>
      </c>
      <c r="D124" s="60">
        <v>0</v>
      </c>
      <c r="E124" s="60">
        <v>217</v>
      </c>
      <c r="F124" s="60">
        <v>636</v>
      </c>
      <c r="G124" s="60">
        <v>0</v>
      </c>
      <c r="H124" s="60">
        <v>0</v>
      </c>
      <c r="I124" s="60">
        <v>217</v>
      </c>
      <c r="J124" s="60">
        <v>636</v>
      </c>
      <c r="K124" s="98">
        <v>0</v>
      </c>
      <c r="L124" s="98">
        <v>1</v>
      </c>
      <c r="M124" s="60"/>
      <c r="O124">
        <f t="shared" si="3"/>
        <v>217</v>
      </c>
    </row>
    <row r="125" spans="1:15">
      <c r="A125" s="60">
        <v>68852</v>
      </c>
      <c r="B125" s="60" t="s">
        <v>163</v>
      </c>
      <c r="C125" s="60">
        <v>20</v>
      </c>
      <c r="D125" s="60">
        <v>225.3</v>
      </c>
      <c r="E125" s="60">
        <v>39</v>
      </c>
      <c r="F125" s="60">
        <v>460</v>
      </c>
      <c r="G125" s="60">
        <v>1</v>
      </c>
      <c r="H125" s="60">
        <v>0</v>
      </c>
      <c r="I125" s="60">
        <v>60</v>
      </c>
      <c r="J125" s="60">
        <v>685.3</v>
      </c>
      <c r="K125" s="98">
        <v>0.3288</v>
      </c>
      <c r="L125" s="98">
        <v>0.6712</v>
      </c>
      <c r="M125" s="60"/>
      <c r="O125">
        <f t="shared" si="3"/>
        <v>59</v>
      </c>
    </row>
    <row r="126" spans="1:15">
      <c r="A126" s="60">
        <v>57302</v>
      </c>
      <c r="B126" s="60" t="s">
        <v>300</v>
      </c>
      <c r="C126" s="60">
        <v>43</v>
      </c>
      <c r="D126" s="60">
        <v>647.6</v>
      </c>
      <c r="E126" s="60">
        <v>36</v>
      </c>
      <c r="F126" s="60">
        <v>601.8</v>
      </c>
      <c r="G126" s="60">
        <v>1</v>
      </c>
      <c r="H126" s="60">
        <v>0</v>
      </c>
      <c r="I126" s="60">
        <v>80</v>
      </c>
      <c r="J126" s="60">
        <v>1249.4</v>
      </c>
      <c r="K126" s="98">
        <v>0.5183</v>
      </c>
      <c r="L126" s="98">
        <v>0.4817</v>
      </c>
      <c r="M126" s="60"/>
      <c r="O126">
        <f t="shared" si="3"/>
        <v>79</v>
      </c>
    </row>
    <row r="127" spans="1:15">
      <c r="A127" s="60">
        <v>100103</v>
      </c>
      <c r="B127" s="60" t="s">
        <v>301</v>
      </c>
      <c r="C127" s="60">
        <v>0</v>
      </c>
      <c r="D127" s="60">
        <v>0</v>
      </c>
      <c r="E127" s="60">
        <v>33</v>
      </c>
      <c r="F127" s="60">
        <v>166</v>
      </c>
      <c r="G127" s="60">
        <v>0</v>
      </c>
      <c r="H127" s="60">
        <v>4</v>
      </c>
      <c r="I127" s="60">
        <v>37</v>
      </c>
      <c r="J127" s="60">
        <v>166</v>
      </c>
      <c r="K127" s="98">
        <v>0</v>
      </c>
      <c r="L127" s="98">
        <v>1</v>
      </c>
      <c r="M127" s="60"/>
      <c r="O127">
        <f t="shared" si="3"/>
        <v>33</v>
      </c>
    </row>
    <row r="128" spans="1:15">
      <c r="A128" s="60">
        <v>79339</v>
      </c>
      <c r="B128" s="60" t="s">
        <v>302</v>
      </c>
      <c r="C128" s="60">
        <v>11</v>
      </c>
      <c r="D128" s="60">
        <v>116.1</v>
      </c>
      <c r="E128" s="60">
        <v>9</v>
      </c>
      <c r="F128" s="60">
        <v>93.4</v>
      </c>
      <c r="G128" s="60">
        <v>0</v>
      </c>
      <c r="H128" s="60">
        <v>0</v>
      </c>
      <c r="I128" s="60">
        <v>20</v>
      </c>
      <c r="J128" s="60">
        <v>209.5</v>
      </c>
      <c r="K128" s="98">
        <v>0.5542</v>
      </c>
      <c r="L128" s="98">
        <v>0.4458</v>
      </c>
      <c r="M128" s="60"/>
      <c r="O128">
        <f t="shared" si="3"/>
        <v>20</v>
      </c>
    </row>
    <row r="129" spans="1:15">
      <c r="A129" s="60">
        <v>53254</v>
      </c>
      <c r="B129" s="60" t="s">
        <v>303</v>
      </c>
      <c r="C129" s="60">
        <v>71</v>
      </c>
      <c r="D129" s="60">
        <v>1020.5</v>
      </c>
      <c r="E129" s="60">
        <v>50</v>
      </c>
      <c r="F129" s="60">
        <v>852</v>
      </c>
      <c r="G129" s="60">
        <v>3</v>
      </c>
      <c r="H129" s="60">
        <v>0</v>
      </c>
      <c r="I129" s="60">
        <v>124</v>
      </c>
      <c r="J129" s="60">
        <v>1872.5</v>
      </c>
      <c r="K129" s="98">
        <v>0.545</v>
      </c>
      <c r="L129" s="98">
        <v>0.455</v>
      </c>
      <c r="M129" s="60"/>
      <c r="O129">
        <f t="shared" si="3"/>
        <v>121</v>
      </c>
    </row>
    <row r="130" spans="1:15">
      <c r="A130" s="60">
        <v>53058</v>
      </c>
      <c r="B130" s="60" t="s">
        <v>304</v>
      </c>
      <c r="C130" s="60">
        <v>25</v>
      </c>
      <c r="D130" s="60">
        <v>361.7</v>
      </c>
      <c r="E130" s="60">
        <v>38</v>
      </c>
      <c r="F130" s="60">
        <v>637.4</v>
      </c>
      <c r="G130" s="60">
        <v>2</v>
      </c>
      <c r="H130" s="60">
        <v>0</v>
      </c>
      <c r="I130" s="60">
        <v>65</v>
      </c>
      <c r="J130" s="60">
        <v>999.1</v>
      </c>
      <c r="K130" s="98">
        <v>0.362</v>
      </c>
      <c r="L130" s="98">
        <v>0.638</v>
      </c>
      <c r="M130" s="60"/>
      <c r="O130">
        <f t="shared" si="3"/>
        <v>63</v>
      </c>
    </row>
    <row r="131" spans="1:15">
      <c r="A131" s="60">
        <v>79338</v>
      </c>
      <c r="B131" s="60" t="s">
        <v>194</v>
      </c>
      <c r="C131" s="60">
        <v>14</v>
      </c>
      <c r="D131" s="60">
        <v>125.9</v>
      </c>
      <c r="E131" s="60">
        <v>2</v>
      </c>
      <c r="F131" s="60">
        <v>25.6</v>
      </c>
      <c r="G131" s="60">
        <v>4</v>
      </c>
      <c r="H131" s="60">
        <v>0</v>
      </c>
      <c r="I131" s="60">
        <v>20</v>
      </c>
      <c r="J131" s="60">
        <v>151.5</v>
      </c>
      <c r="K131" s="98">
        <v>0.831</v>
      </c>
      <c r="L131" s="98">
        <v>0.169</v>
      </c>
      <c r="M131" s="60"/>
      <c r="O131">
        <f t="shared" ref="O131:O174" si="4">I131-G131-H131</f>
        <v>16</v>
      </c>
    </row>
    <row r="132" spans="1:15">
      <c r="A132" s="60">
        <v>19394</v>
      </c>
      <c r="B132" s="60" t="s">
        <v>305</v>
      </c>
      <c r="C132" s="60">
        <v>0</v>
      </c>
      <c r="D132" s="60">
        <v>0</v>
      </c>
      <c r="E132" s="60">
        <v>1</v>
      </c>
      <c r="F132" s="60">
        <v>0</v>
      </c>
      <c r="G132" s="60">
        <v>17</v>
      </c>
      <c r="H132" s="60">
        <v>0</v>
      </c>
      <c r="I132" s="60">
        <v>18</v>
      </c>
      <c r="J132" s="60">
        <v>0</v>
      </c>
      <c r="K132" s="98">
        <v>0</v>
      </c>
      <c r="L132" s="98">
        <v>0</v>
      </c>
      <c r="M132" s="60"/>
      <c r="O132">
        <f t="shared" si="4"/>
        <v>1</v>
      </c>
    </row>
    <row r="133" spans="1:15">
      <c r="A133" s="60">
        <v>33689</v>
      </c>
      <c r="B133" s="60" t="s">
        <v>197</v>
      </c>
      <c r="C133" s="60">
        <v>19</v>
      </c>
      <c r="D133" s="60">
        <v>251.7</v>
      </c>
      <c r="E133" s="60">
        <v>5</v>
      </c>
      <c r="F133" s="60">
        <v>80</v>
      </c>
      <c r="G133" s="60">
        <v>5</v>
      </c>
      <c r="H133" s="60">
        <v>0</v>
      </c>
      <c r="I133" s="60">
        <v>29</v>
      </c>
      <c r="J133" s="60">
        <v>331.7</v>
      </c>
      <c r="K133" s="98">
        <v>0.7588</v>
      </c>
      <c r="L133" s="98">
        <v>0.2412</v>
      </c>
      <c r="M133" s="60"/>
      <c r="O133">
        <f t="shared" si="4"/>
        <v>24</v>
      </c>
    </row>
    <row r="134" spans="1:15">
      <c r="A134" s="60">
        <v>33691</v>
      </c>
      <c r="B134" s="60" t="s">
        <v>198</v>
      </c>
      <c r="C134" s="60">
        <v>29</v>
      </c>
      <c r="D134" s="60">
        <v>394.1</v>
      </c>
      <c r="E134" s="60">
        <v>12</v>
      </c>
      <c r="F134" s="60">
        <v>179.6</v>
      </c>
      <c r="G134" s="60">
        <v>0</v>
      </c>
      <c r="H134" s="60">
        <v>0</v>
      </c>
      <c r="I134" s="60">
        <v>41</v>
      </c>
      <c r="J134" s="60">
        <v>573.7</v>
      </c>
      <c r="K134" s="98">
        <v>0.6869</v>
      </c>
      <c r="L134" s="98">
        <v>0.3131</v>
      </c>
      <c r="M134" s="60"/>
      <c r="O134">
        <f t="shared" si="4"/>
        <v>41</v>
      </c>
    </row>
    <row r="135" spans="1:15">
      <c r="A135" s="60">
        <v>33523</v>
      </c>
      <c r="B135" s="60" t="s">
        <v>161</v>
      </c>
      <c r="C135" s="60">
        <v>3</v>
      </c>
      <c r="D135" s="60">
        <v>28.6</v>
      </c>
      <c r="E135" s="60">
        <v>2</v>
      </c>
      <c r="F135" s="60">
        <v>21.6</v>
      </c>
      <c r="G135" s="60">
        <v>2</v>
      </c>
      <c r="H135" s="60">
        <v>0</v>
      </c>
      <c r="I135" s="60">
        <v>7</v>
      </c>
      <c r="J135" s="60">
        <v>50.2</v>
      </c>
      <c r="K135" s="98">
        <v>0.5697</v>
      </c>
      <c r="L135" s="98">
        <v>0.4303</v>
      </c>
      <c r="M135" s="60"/>
      <c r="O135">
        <f t="shared" si="4"/>
        <v>5</v>
      </c>
    </row>
    <row r="136" spans="1:15">
      <c r="A136" s="60">
        <v>33522</v>
      </c>
      <c r="B136" s="60" t="s">
        <v>199</v>
      </c>
      <c r="C136" s="60">
        <v>6</v>
      </c>
      <c r="D136" s="60">
        <v>57.2</v>
      </c>
      <c r="E136" s="60">
        <v>5</v>
      </c>
      <c r="F136" s="60">
        <v>54</v>
      </c>
      <c r="G136" s="60">
        <v>0</v>
      </c>
      <c r="H136" s="60">
        <v>0</v>
      </c>
      <c r="I136" s="60">
        <v>11</v>
      </c>
      <c r="J136" s="60">
        <v>111.2</v>
      </c>
      <c r="K136" s="98">
        <v>0.5144</v>
      </c>
      <c r="L136" s="98">
        <v>0.4856</v>
      </c>
      <c r="M136" s="60"/>
      <c r="O136">
        <f t="shared" si="4"/>
        <v>11</v>
      </c>
    </row>
    <row r="137" spans="1:15">
      <c r="A137" s="60">
        <v>20904</v>
      </c>
      <c r="B137" s="60" t="s">
        <v>306</v>
      </c>
      <c r="C137" s="60">
        <v>16</v>
      </c>
      <c r="D137" s="60">
        <v>69.05</v>
      </c>
      <c r="E137" s="60">
        <v>12</v>
      </c>
      <c r="F137" s="60">
        <v>55.8</v>
      </c>
      <c r="G137" s="60">
        <v>2</v>
      </c>
      <c r="H137" s="60">
        <v>0</v>
      </c>
      <c r="I137" s="60">
        <v>30</v>
      </c>
      <c r="J137" s="60">
        <v>124.85</v>
      </c>
      <c r="K137" s="98">
        <v>0.5531</v>
      </c>
      <c r="L137" s="98">
        <v>0.4469</v>
      </c>
      <c r="M137" s="60"/>
      <c r="O137">
        <f t="shared" si="4"/>
        <v>28</v>
      </c>
    </row>
    <row r="138" spans="1:15">
      <c r="A138" s="60">
        <v>26396</v>
      </c>
      <c r="B138" s="60" t="s">
        <v>307</v>
      </c>
      <c r="C138" s="60">
        <v>1</v>
      </c>
      <c r="D138" s="60">
        <v>4.5</v>
      </c>
      <c r="E138" s="60">
        <v>6</v>
      </c>
      <c r="F138" s="60">
        <v>27.1</v>
      </c>
      <c r="G138" s="60">
        <v>4</v>
      </c>
      <c r="H138" s="60">
        <v>0</v>
      </c>
      <c r="I138" s="60">
        <v>11</v>
      </c>
      <c r="J138" s="60">
        <v>31.6</v>
      </c>
      <c r="K138" s="98">
        <v>0.1424</v>
      </c>
      <c r="L138" s="98">
        <v>0.8576</v>
      </c>
      <c r="M138" s="60"/>
      <c r="O138">
        <f t="shared" si="4"/>
        <v>7</v>
      </c>
    </row>
    <row r="139" spans="1:15">
      <c r="A139" s="60">
        <v>53117</v>
      </c>
      <c r="B139" s="60" t="s">
        <v>210</v>
      </c>
      <c r="C139" s="60">
        <v>1</v>
      </c>
      <c r="D139" s="60">
        <v>7</v>
      </c>
      <c r="E139" s="60">
        <v>3</v>
      </c>
      <c r="F139" s="60">
        <v>19</v>
      </c>
      <c r="G139" s="60">
        <v>4</v>
      </c>
      <c r="H139" s="60">
        <v>0</v>
      </c>
      <c r="I139" s="60">
        <v>8</v>
      </c>
      <c r="J139" s="60">
        <v>26</v>
      </c>
      <c r="K139" s="98">
        <v>0.2692</v>
      </c>
      <c r="L139" s="98">
        <v>0.7308</v>
      </c>
      <c r="M139" s="60"/>
      <c r="O139">
        <f t="shared" si="4"/>
        <v>4</v>
      </c>
    </row>
    <row r="140" spans="1:15">
      <c r="A140" s="60">
        <v>33520</v>
      </c>
      <c r="B140" s="60" t="s">
        <v>211</v>
      </c>
      <c r="C140" s="60">
        <v>2</v>
      </c>
      <c r="D140" s="60">
        <v>8.8</v>
      </c>
      <c r="E140" s="60">
        <v>3</v>
      </c>
      <c r="F140" s="60">
        <v>15.9</v>
      </c>
      <c r="G140" s="60">
        <v>0</v>
      </c>
      <c r="H140" s="60">
        <v>0</v>
      </c>
      <c r="I140" s="60">
        <v>5</v>
      </c>
      <c r="J140" s="60">
        <v>24.7</v>
      </c>
      <c r="K140" s="98">
        <v>0.3563</v>
      </c>
      <c r="L140" s="98">
        <v>0.6437</v>
      </c>
      <c r="M140" s="60"/>
      <c r="O140">
        <f t="shared" si="4"/>
        <v>5</v>
      </c>
    </row>
    <row r="141" spans="1:15">
      <c r="A141" s="60">
        <v>75412</v>
      </c>
      <c r="B141" s="60" t="s">
        <v>201</v>
      </c>
      <c r="C141" s="60">
        <v>22</v>
      </c>
      <c r="D141" s="60">
        <v>315.6</v>
      </c>
      <c r="E141" s="60">
        <v>13</v>
      </c>
      <c r="F141" s="60">
        <v>224.4</v>
      </c>
      <c r="G141" s="60">
        <v>2</v>
      </c>
      <c r="H141" s="60">
        <v>0</v>
      </c>
      <c r="I141" s="60">
        <v>37</v>
      </c>
      <c r="J141" s="60">
        <v>540</v>
      </c>
      <c r="K141" s="98">
        <v>0.5844</v>
      </c>
      <c r="L141" s="98">
        <v>0.4156</v>
      </c>
      <c r="M141" s="60"/>
      <c r="O141">
        <f t="shared" si="4"/>
        <v>35</v>
      </c>
    </row>
    <row r="142" spans="1:15">
      <c r="A142" s="60">
        <v>85127</v>
      </c>
      <c r="B142" s="60" t="s">
        <v>202</v>
      </c>
      <c r="C142" s="60">
        <v>25</v>
      </c>
      <c r="D142" s="60">
        <v>297.4</v>
      </c>
      <c r="E142" s="60">
        <v>11</v>
      </c>
      <c r="F142" s="60">
        <v>185.8</v>
      </c>
      <c r="G142" s="60">
        <v>0</v>
      </c>
      <c r="H142" s="60">
        <v>0</v>
      </c>
      <c r="I142" s="60">
        <v>36</v>
      </c>
      <c r="J142" s="60">
        <v>483.2</v>
      </c>
      <c r="K142" s="98">
        <v>0.6155</v>
      </c>
      <c r="L142" s="98">
        <v>0.3845</v>
      </c>
      <c r="M142" s="60"/>
      <c r="O142">
        <f t="shared" si="4"/>
        <v>36</v>
      </c>
    </row>
    <row r="143" spans="1:15">
      <c r="A143" s="60">
        <v>163631</v>
      </c>
      <c r="B143" s="60" t="s">
        <v>308</v>
      </c>
      <c r="C143" s="60">
        <v>0</v>
      </c>
      <c r="D143" s="60">
        <v>0</v>
      </c>
      <c r="E143" s="60">
        <v>31</v>
      </c>
      <c r="F143" s="60">
        <v>168</v>
      </c>
      <c r="G143" s="60">
        <v>0</v>
      </c>
      <c r="H143" s="60">
        <v>0</v>
      </c>
      <c r="I143" s="60">
        <v>31</v>
      </c>
      <c r="J143" s="60">
        <v>168</v>
      </c>
      <c r="K143" s="98">
        <v>0</v>
      </c>
      <c r="L143" s="98">
        <v>1</v>
      </c>
      <c r="M143" s="60"/>
      <c r="O143">
        <f t="shared" si="4"/>
        <v>31</v>
      </c>
    </row>
    <row r="144" spans="1:15">
      <c r="A144" s="60">
        <v>26698</v>
      </c>
      <c r="B144" s="60" t="s">
        <v>204</v>
      </c>
      <c r="C144" s="60">
        <v>0</v>
      </c>
      <c r="D144" s="60">
        <v>0</v>
      </c>
      <c r="E144" s="60">
        <v>60</v>
      </c>
      <c r="F144" s="60">
        <v>476</v>
      </c>
      <c r="G144" s="60">
        <v>2</v>
      </c>
      <c r="H144" s="60">
        <v>0</v>
      </c>
      <c r="I144" s="60">
        <v>62</v>
      </c>
      <c r="J144" s="60">
        <v>476</v>
      </c>
      <c r="K144" s="98">
        <v>0</v>
      </c>
      <c r="L144" s="98">
        <v>1</v>
      </c>
      <c r="M144" s="60"/>
      <c r="O144">
        <f t="shared" si="4"/>
        <v>60</v>
      </c>
    </row>
    <row r="145" spans="1:15">
      <c r="A145" s="60">
        <v>52338</v>
      </c>
      <c r="B145" s="60" t="s">
        <v>309</v>
      </c>
      <c r="C145" s="60">
        <v>27</v>
      </c>
      <c r="D145" s="60">
        <v>377.5</v>
      </c>
      <c r="E145" s="60">
        <v>10</v>
      </c>
      <c r="F145" s="60">
        <v>153</v>
      </c>
      <c r="G145" s="60">
        <v>1</v>
      </c>
      <c r="H145" s="60">
        <v>0</v>
      </c>
      <c r="I145" s="60">
        <v>38</v>
      </c>
      <c r="J145" s="60">
        <v>530.5</v>
      </c>
      <c r="K145" s="98">
        <v>0.7116</v>
      </c>
      <c r="L145" s="98">
        <v>0.2884</v>
      </c>
      <c r="M145" s="60"/>
      <c r="O145">
        <f t="shared" si="4"/>
        <v>37</v>
      </c>
    </row>
    <row r="146" spans="1:15">
      <c r="A146" s="60">
        <v>62547</v>
      </c>
      <c r="B146" s="60" t="s">
        <v>310</v>
      </c>
      <c r="C146" s="60">
        <v>23</v>
      </c>
      <c r="D146" s="60">
        <v>354.7</v>
      </c>
      <c r="E146" s="60">
        <v>14</v>
      </c>
      <c r="F146" s="60">
        <v>234.2</v>
      </c>
      <c r="G146" s="60">
        <v>0</v>
      </c>
      <c r="H146" s="60">
        <v>0</v>
      </c>
      <c r="I146" s="60">
        <v>37</v>
      </c>
      <c r="J146" s="60">
        <v>588.9</v>
      </c>
      <c r="K146" s="98">
        <v>0.6023</v>
      </c>
      <c r="L146" s="98">
        <v>0.3977</v>
      </c>
      <c r="M146" s="60"/>
      <c r="O146">
        <f t="shared" si="4"/>
        <v>37</v>
      </c>
    </row>
    <row r="147" spans="1:15">
      <c r="A147" s="60">
        <v>66129</v>
      </c>
      <c r="B147" s="60" t="s">
        <v>311</v>
      </c>
      <c r="C147" s="60">
        <v>45</v>
      </c>
      <c r="D147" s="60">
        <v>637.4</v>
      </c>
      <c r="E147" s="60">
        <v>20</v>
      </c>
      <c r="F147" s="60">
        <v>329</v>
      </c>
      <c r="G147" s="60">
        <v>2</v>
      </c>
      <c r="H147" s="60">
        <v>0</v>
      </c>
      <c r="I147" s="60">
        <v>67</v>
      </c>
      <c r="J147" s="60">
        <v>966.4</v>
      </c>
      <c r="K147" s="98">
        <v>0.6596</v>
      </c>
      <c r="L147" s="98">
        <v>0.3404</v>
      </c>
      <c r="M147" s="60"/>
      <c r="O147">
        <f t="shared" si="4"/>
        <v>65</v>
      </c>
    </row>
    <row r="148" spans="1:15">
      <c r="A148" s="60">
        <v>26699</v>
      </c>
      <c r="B148" s="60" t="s">
        <v>312</v>
      </c>
      <c r="C148" s="60">
        <v>26</v>
      </c>
      <c r="D148" s="60">
        <v>387.2</v>
      </c>
      <c r="E148" s="60">
        <v>25</v>
      </c>
      <c r="F148" s="60">
        <v>415</v>
      </c>
      <c r="G148" s="60">
        <v>0</v>
      </c>
      <c r="H148" s="60">
        <v>0</v>
      </c>
      <c r="I148" s="60">
        <v>51</v>
      </c>
      <c r="J148" s="60">
        <v>802.2</v>
      </c>
      <c r="K148" s="98">
        <v>0.4827</v>
      </c>
      <c r="L148" s="98">
        <v>0.5173</v>
      </c>
      <c r="M148" s="60"/>
      <c r="O148">
        <f t="shared" si="4"/>
        <v>51</v>
      </c>
    </row>
    <row r="149" spans="1:15">
      <c r="A149" s="60">
        <v>26395</v>
      </c>
      <c r="B149" s="60" t="s">
        <v>313</v>
      </c>
      <c r="C149" s="60">
        <v>13</v>
      </c>
      <c r="D149" s="60">
        <v>185.8</v>
      </c>
      <c r="E149" s="60">
        <v>7</v>
      </c>
      <c r="F149" s="60">
        <v>106.6</v>
      </c>
      <c r="G149" s="60">
        <v>0</v>
      </c>
      <c r="H149" s="60">
        <v>0</v>
      </c>
      <c r="I149" s="60">
        <v>20</v>
      </c>
      <c r="J149" s="60">
        <v>292.4</v>
      </c>
      <c r="K149" s="98">
        <v>0.6354</v>
      </c>
      <c r="L149" s="98">
        <v>0.3646</v>
      </c>
      <c r="M149" s="60"/>
      <c r="O149">
        <f t="shared" si="4"/>
        <v>20</v>
      </c>
    </row>
    <row r="150" spans="1:15">
      <c r="A150" s="60">
        <v>33680</v>
      </c>
      <c r="B150" s="60" t="s">
        <v>99</v>
      </c>
      <c r="C150" s="60">
        <v>9</v>
      </c>
      <c r="D150" s="60">
        <v>132.8</v>
      </c>
      <c r="E150" s="60">
        <v>17</v>
      </c>
      <c r="F150" s="60">
        <v>276.6</v>
      </c>
      <c r="G150" s="60">
        <v>0</v>
      </c>
      <c r="H150" s="60">
        <v>0</v>
      </c>
      <c r="I150" s="60">
        <v>26</v>
      </c>
      <c r="J150" s="60">
        <v>409.4</v>
      </c>
      <c r="K150" s="98">
        <v>0.3244</v>
      </c>
      <c r="L150" s="98">
        <v>0.6756</v>
      </c>
      <c r="M150" s="60"/>
      <c r="O150">
        <f t="shared" si="4"/>
        <v>26</v>
      </c>
    </row>
    <row r="151" spans="1:15">
      <c r="A151" s="60">
        <v>33674</v>
      </c>
      <c r="B151" s="60" t="s">
        <v>98</v>
      </c>
      <c r="C151" s="60">
        <v>5</v>
      </c>
      <c r="D151" s="60">
        <v>79</v>
      </c>
      <c r="E151" s="60">
        <v>15</v>
      </c>
      <c r="F151" s="60">
        <v>231</v>
      </c>
      <c r="G151" s="60">
        <v>0</v>
      </c>
      <c r="H151" s="60">
        <v>0</v>
      </c>
      <c r="I151" s="60">
        <v>20</v>
      </c>
      <c r="J151" s="60">
        <v>310</v>
      </c>
      <c r="K151" s="98">
        <v>0.2548</v>
      </c>
      <c r="L151" s="98">
        <v>0.7452</v>
      </c>
      <c r="M151" s="60"/>
      <c r="O151">
        <f t="shared" si="4"/>
        <v>20</v>
      </c>
    </row>
    <row r="152" spans="1:15">
      <c r="A152" s="60">
        <v>33280</v>
      </c>
      <c r="B152" s="60" t="s">
        <v>196</v>
      </c>
      <c r="C152" s="60">
        <v>10</v>
      </c>
      <c r="D152" s="60">
        <v>92.8</v>
      </c>
      <c r="E152" s="60">
        <v>15</v>
      </c>
      <c r="F152" s="60">
        <v>116</v>
      </c>
      <c r="G152" s="60">
        <v>2</v>
      </c>
      <c r="H152" s="60">
        <v>0</v>
      </c>
      <c r="I152" s="60">
        <v>27</v>
      </c>
      <c r="J152" s="60">
        <v>208.8</v>
      </c>
      <c r="K152" s="98">
        <v>0.4444</v>
      </c>
      <c r="L152" s="98">
        <v>0.5556</v>
      </c>
      <c r="M152" s="60"/>
      <c r="O152">
        <f t="shared" si="4"/>
        <v>25</v>
      </c>
    </row>
    <row r="153" spans="1:15">
      <c r="A153" s="60">
        <v>68715</v>
      </c>
      <c r="B153" s="60" t="s">
        <v>214</v>
      </c>
      <c r="C153" s="60">
        <v>28</v>
      </c>
      <c r="D153" s="60">
        <v>323.4</v>
      </c>
      <c r="E153" s="60">
        <v>26</v>
      </c>
      <c r="F153" s="60">
        <v>289.6</v>
      </c>
      <c r="G153" s="60">
        <v>2</v>
      </c>
      <c r="H153" s="60">
        <v>0</v>
      </c>
      <c r="I153" s="60">
        <v>56</v>
      </c>
      <c r="J153" s="60">
        <v>613</v>
      </c>
      <c r="K153" s="98">
        <v>0.5276</v>
      </c>
      <c r="L153" s="98">
        <v>0.4724</v>
      </c>
      <c r="M153" s="60"/>
      <c r="O153">
        <f t="shared" si="4"/>
        <v>54</v>
      </c>
    </row>
    <row r="154" spans="1:15">
      <c r="A154" s="60">
        <v>161673</v>
      </c>
      <c r="B154" s="60" t="s">
        <v>314</v>
      </c>
      <c r="C154" s="60">
        <v>0</v>
      </c>
      <c r="D154" s="60">
        <v>0</v>
      </c>
      <c r="E154" s="60">
        <v>4</v>
      </c>
      <c r="F154" s="60">
        <v>22</v>
      </c>
      <c r="G154" s="60">
        <v>3</v>
      </c>
      <c r="H154" s="60">
        <v>0</v>
      </c>
      <c r="I154" s="60">
        <v>7</v>
      </c>
      <c r="J154" s="60">
        <v>22</v>
      </c>
      <c r="K154" s="98">
        <v>0</v>
      </c>
      <c r="L154" s="98">
        <v>1</v>
      </c>
      <c r="M154" s="60"/>
      <c r="O154">
        <f t="shared" si="4"/>
        <v>4</v>
      </c>
    </row>
    <row r="155" spans="1:15">
      <c r="A155" s="60">
        <v>26397</v>
      </c>
      <c r="B155" s="60" t="s">
        <v>217</v>
      </c>
      <c r="C155" s="60">
        <v>8</v>
      </c>
      <c r="D155" s="60">
        <v>35.4</v>
      </c>
      <c r="E155" s="60">
        <v>19</v>
      </c>
      <c r="F155" s="60">
        <v>227.6</v>
      </c>
      <c r="G155" s="60">
        <v>3</v>
      </c>
      <c r="H155" s="60">
        <v>0</v>
      </c>
      <c r="I155" s="60">
        <v>30</v>
      </c>
      <c r="J155" s="60">
        <v>263</v>
      </c>
      <c r="K155" s="98">
        <v>0.1346</v>
      </c>
      <c r="L155" s="98">
        <v>0.8654</v>
      </c>
      <c r="M155" s="60"/>
      <c r="O155">
        <f t="shared" si="4"/>
        <v>27</v>
      </c>
    </row>
    <row r="156" spans="1:15">
      <c r="A156" s="60">
        <v>23550</v>
      </c>
      <c r="B156" s="60" t="s">
        <v>315</v>
      </c>
      <c r="C156" s="60">
        <v>19</v>
      </c>
      <c r="D156" s="60">
        <v>239.4</v>
      </c>
      <c r="E156" s="60">
        <v>9</v>
      </c>
      <c r="F156" s="60">
        <v>138.2</v>
      </c>
      <c r="G156" s="60">
        <v>5</v>
      </c>
      <c r="H156" s="60">
        <v>0</v>
      </c>
      <c r="I156" s="60">
        <v>33</v>
      </c>
      <c r="J156" s="60">
        <v>377.6</v>
      </c>
      <c r="K156" s="98">
        <v>0.634</v>
      </c>
      <c r="L156" s="98">
        <v>0.366</v>
      </c>
      <c r="M156" s="60"/>
      <c r="O156">
        <f t="shared" si="4"/>
        <v>28</v>
      </c>
    </row>
    <row r="157" spans="1:15">
      <c r="A157" s="60">
        <v>23398</v>
      </c>
      <c r="B157" s="60" t="s">
        <v>316</v>
      </c>
      <c r="C157" s="60">
        <v>3</v>
      </c>
      <c r="D157" s="60">
        <v>50.4</v>
      </c>
      <c r="E157" s="60">
        <v>2</v>
      </c>
      <c r="F157" s="60">
        <v>27.6</v>
      </c>
      <c r="G157" s="60">
        <v>3</v>
      </c>
      <c r="H157" s="60">
        <v>0</v>
      </c>
      <c r="I157" s="60">
        <v>8</v>
      </c>
      <c r="J157" s="60">
        <v>78</v>
      </c>
      <c r="K157" s="98">
        <v>0.6462</v>
      </c>
      <c r="L157" s="98">
        <v>0.3538</v>
      </c>
      <c r="M157" s="60"/>
      <c r="O157">
        <f t="shared" si="4"/>
        <v>5</v>
      </c>
    </row>
    <row r="158" spans="1:15">
      <c r="A158" s="60">
        <v>53614</v>
      </c>
      <c r="B158" s="60" t="s">
        <v>220</v>
      </c>
      <c r="C158" s="60">
        <v>14</v>
      </c>
      <c r="D158" s="60">
        <v>46.5</v>
      </c>
      <c r="E158" s="60">
        <v>2</v>
      </c>
      <c r="F158" s="60">
        <v>13.8</v>
      </c>
      <c r="G158" s="60">
        <v>0</v>
      </c>
      <c r="H158" s="60">
        <v>0</v>
      </c>
      <c r="I158" s="60">
        <v>16</v>
      </c>
      <c r="J158" s="60">
        <v>60.3</v>
      </c>
      <c r="K158" s="98">
        <v>0.7711</v>
      </c>
      <c r="L158" s="98">
        <v>0.2289</v>
      </c>
      <c r="M158" s="60"/>
      <c r="O158">
        <f t="shared" si="4"/>
        <v>16</v>
      </c>
    </row>
    <row r="159" spans="1:15">
      <c r="A159" s="60">
        <v>68717</v>
      </c>
      <c r="B159" s="60" t="s">
        <v>221</v>
      </c>
      <c r="C159" s="60">
        <v>2</v>
      </c>
      <c r="D159" s="60">
        <v>23.6</v>
      </c>
      <c r="E159" s="60">
        <v>9</v>
      </c>
      <c r="F159" s="60">
        <v>103.4</v>
      </c>
      <c r="G159" s="60">
        <v>3</v>
      </c>
      <c r="H159" s="60">
        <v>0</v>
      </c>
      <c r="I159" s="60">
        <v>14</v>
      </c>
      <c r="J159" s="60">
        <v>127</v>
      </c>
      <c r="K159" s="98">
        <v>0.1858</v>
      </c>
      <c r="L159" s="98">
        <v>0.8142</v>
      </c>
      <c r="M159" s="60"/>
      <c r="O159">
        <f t="shared" si="4"/>
        <v>11</v>
      </c>
    </row>
    <row r="160" spans="1:15">
      <c r="A160" s="60">
        <v>58987</v>
      </c>
      <c r="B160" s="60" t="s">
        <v>222</v>
      </c>
      <c r="C160" s="60">
        <v>2</v>
      </c>
      <c r="D160" s="60">
        <v>30.24</v>
      </c>
      <c r="E160" s="60">
        <v>23</v>
      </c>
      <c r="F160" s="60">
        <v>433.4</v>
      </c>
      <c r="G160" s="60">
        <v>0</v>
      </c>
      <c r="H160" s="60">
        <v>0</v>
      </c>
      <c r="I160" s="60">
        <v>25</v>
      </c>
      <c r="J160" s="60">
        <v>463.64</v>
      </c>
      <c r="K160" s="98">
        <v>0.0652</v>
      </c>
      <c r="L160" s="98">
        <v>0.9348</v>
      </c>
      <c r="M160" s="60"/>
      <c r="O160">
        <f t="shared" si="4"/>
        <v>25</v>
      </c>
    </row>
    <row r="161" spans="1:15">
      <c r="A161" s="60">
        <v>58986</v>
      </c>
      <c r="B161" s="60" t="s">
        <v>223</v>
      </c>
      <c r="C161" s="60">
        <v>13</v>
      </c>
      <c r="D161" s="60">
        <v>99.25</v>
      </c>
      <c r="E161" s="60">
        <v>7</v>
      </c>
      <c r="F161" s="60">
        <v>57.6</v>
      </c>
      <c r="G161" s="60">
        <v>2</v>
      </c>
      <c r="H161" s="60">
        <v>0</v>
      </c>
      <c r="I161" s="60">
        <v>22</v>
      </c>
      <c r="J161" s="60">
        <v>156.85</v>
      </c>
      <c r="K161" s="98">
        <v>0.6328</v>
      </c>
      <c r="L161" s="98">
        <v>0.3672</v>
      </c>
      <c r="M161" s="60"/>
      <c r="O161">
        <f t="shared" si="4"/>
        <v>20</v>
      </c>
    </row>
    <row r="162" spans="1:15">
      <c r="A162" s="60">
        <v>26039</v>
      </c>
      <c r="B162" s="60" t="s">
        <v>35</v>
      </c>
      <c r="C162" s="60">
        <v>5</v>
      </c>
      <c r="D162" s="60">
        <v>56</v>
      </c>
      <c r="E162" s="60">
        <v>5</v>
      </c>
      <c r="F162" s="60">
        <v>54</v>
      </c>
      <c r="G162" s="60">
        <v>1</v>
      </c>
      <c r="H162" s="60">
        <v>0</v>
      </c>
      <c r="I162" s="60">
        <v>11</v>
      </c>
      <c r="J162" s="60">
        <v>110</v>
      </c>
      <c r="K162" s="98">
        <v>0.5091</v>
      </c>
      <c r="L162" s="98">
        <v>0.4909</v>
      </c>
      <c r="O162">
        <f t="shared" si="4"/>
        <v>10</v>
      </c>
    </row>
    <row r="163" spans="1:15">
      <c r="A163" s="60">
        <v>71352</v>
      </c>
      <c r="B163" s="60" t="s">
        <v>224</v>
      </c>
      <c r="C163" s="60">
        <v>61</v>
      </c>
      <c r="D163" s="60">
        <v>347.93</v>
      </c>
      <c r="E163" s="60">
        <v>25</v>
      </c>
      <c r="F163" s="60">
        <v>297.2</v>
      </c>
      <c r="G163" s="60">
        <v>66</v>
      </c>
      <c r="H163" s="60">
        <v>0</v>
      </c>
      <c r="I163" s="60">
        <v>152</v>
      </c>
      <c r="J163" s="60">
        <v>645.13</v>
      </c>
      <c r="K163" s="98">
        <v>0.5393</v>
      </c>
      <c r="L163" s="98">
        <v>0.4607</v>
      </c>
      <c r="O163">
        <f t="shared" si="4"/>
        <v>86</v>
      </c>
    </row>
    <row r="164" spans="1:15">
      <c r="A164" s="60">
        <v>33414</v>
      </c>
      <c r="B164" s="60" t="s">
        <v>317</v>
      </c>
      <c r="C164" s="60">
        <v>77</v>
      </c>
      <c r="D164" s="60">
        <v>531.46</v>
      </c>
      <c r="E164" s="60">
        <v>19</v>
      </c>
      <c r="F164" s="60">
        <v>215.2</v>
      </c>
      <c r="G164" s="60">
        <v>0</v>
      </c>
      <c r="H164" s="60">
        <v>0</v>
      </c>
      <c r="I164" s="60">
        <v>96</v>
      </c>
      <c r="J164" s="60">
        <v>746.66</v>
      </c>
      <c r="K164" s="98">
        <v>0.7118</v>
      </c>
      <c r="L164" s="98">
        <v>0.2882</v>
      </c>
      <c r="O164">
        <f t="shared" si="4"/>
        <v>96</v>
      </c>
    </row>
    <row r="165" spans="1:15">
      <c r="A165" s="60">
        <v>33426</v>
      </c>
      <c r="B165" s="60" t="s">
        <v>318</v>
      </c>
      <c r="C165" s="60">
        <v>19</v>
      </c>
      <c r="D165" s="60">
        <v>172.8</v>
      </c>
      <c r="E165" s="60">
        <v>11</v>
      </c>
      <c r="F165" s="60">
        <v>117.2</v>
      </c>
      <c r="G165" s="60">
        <v>0</v>
      </c>
      <c r="H165" s="60">
        <v>0</v>
      </c>
      <c r="I165" s="60">
        <v>30</v>
      </c>
      <c r="J165" s="60">
        <v>290</v>
      </c>
      <c r="K165" s="98">
        <v>0.5959</v>
      </c>
      <c r="L165" s="98">
        <v>0.4041</v>
      </c>
      <c r="O165">
        <f t="shared" si="4"/>
        <v>30</v>
      </c>
    </row>
    <row r="166" spans="1:1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98"/>
      <c r="L166" s="98"/>
      <c r="O166">
        <f t="shared" si="4"/>
        <v>0</v>
      </c>
    </row>
    <row r="167" spans="1:1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98"/>
      <c r="L167" s="98"/>
      <c r="O167">
        <f t="shared" si="4"/>
        <v>0</v>
      </c>
    </row>
    <row r="168" spans="1:15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100"/>
      <c r="L168" s="100"/>
      <c r="O168">
        <f t="shared" si="4"/>
        <v>0</v>
      </c>
    </row>
    <row r="169" spans="1:15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100"/>
      <c r="L169" s="100"/>
      <c r="O169">
        <f t="shared" si="4"/>
        <v>0</v>
      </c>
    </row>
    <row r="170" spans="1:15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100"/>
      <c r="L170" s="100"/>
      <c r="O170">
        <f t="shared" si="4"/>
        <v>0</v>
      </c>
    </row>
    <row r="171" spans="1:15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100"/>
      <c r="L171" s="100"/>
      <c r="O171">
        <f t="shared" si="4"/>
        <v>0</v>
      </c>
    </row>
    <row r="172" spans="1:15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100"/>
      <c r="L172" s="100"/>
      <c r="O172">
        <f t="shared" si="4"/>
        <v>0</v>
      </c>
    </row>
    <row r="173" spans="1:15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100"/>
      <c r="L173" s="100"/>
      <c r="O173">
        <f t="shared" si="4"/>
        <v>0</v>
      </c>
    </row>
    <row r="174" spans="15:15">
      <c r="O174">
        <f t="shared" si="4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topLeftCell="A133" workbookViewId="0">
      <selection activeCell="A2" sqref="A2:M167"/>
    </sheetView>
  </sheetViews>
  <sheetFormatPr defaultColWidth="8.8" defaultRowHeight="15.75"/>
  <cols>
    <col min="2" max="2" width="32.8" customWidth="1"/>
    <col min="11" max="12" width="8.85833333333333"/>
    <col min="15" max="16" width="8.8" customWidth="1"/>
  </cols>
  <sheetData>
    <row r="1" spans="1:15">
      <c r="A1" s="60" t="s">
        <v>0</v>
      </c>
      <c r="B1" s="60" t="s">
        <v>2</v>
      </c>
      <c r="C1" s="60" t="s">
        <v>230</v>
      </c>
      <c r="D1" s="60" t="s">
        <v>231</v>
      </c>
      <c r="E1" s="60" t="s">
        <v>232</v>
      </c>
      <c r="F1" s="60" t="s">
        <v>233</v>
      </c>
      <c r="G1" s="60" t="s">
        <v>11</v>
      </c>
      <c r="H1" s="60" t="s">
        <v>234</v>
      </c>
      <c r="I1" s="60" t="s">
        <v>235</v>
      </c>
      <c r="J1" s="60" t="s">
        <v>10</v>
      </c>
      <c r="K1" s="60" t="s">
        <v>236</v>
      </c>
      <c r="L1" s="60" t="s">
        <v>237</v>
      </c>
      <c r="O1" t="s">
        <v>319</v>
      </c>
    </row>
    <row r="2" spans="1:15">
      <c r="A2" s="60">
        <v>12268</v>
      </c>
      <c r="B2" s="60" t="s">
        <v>45</v>
      </c>
      <c r="C2" s="60">
        <v>7</v>
      </c>
      <c r="D2" s="60">
        <v>58.6</v>
      </c>
      <c r="E2" s="60">
        <v>8</v>
      </c>
      <c r="F2" s="60">
        <v>63</v>
      </c>
      <c r="G2" s="60">
        <v>3</v>
      </c>
      <c r="H2" s="60">
        <v>0</v>
      </c>
      <c r="I2" s="60">
        <v>18</v>
      </c>
      <c r="J2" s="60">
        <v>121.6</v>
      </c>
      <c r="K2" s="98">
        <v>0.4819</v>
      </c>
      <c r="L2" s="98">
        <v>0.5181</v>
      </c>
      <c r="M2" s="60"/>
      <c r="O2">
        <f>I2-G2-H2</f>
        <v>15</v>
      </c>
    </row>
    <row r="3" spans="1:15">
      <c r="A3" s="60">
        <v>12248</v>
      </c>
      <c r="B3" s="60" t="s">
        <v>21</v>
      </c>
      <c r="C3" s="60">
        <v>13</v>
      </c>
      <c r="D3" s="60">
        <v>127</v>
      </c>
      <c r="E3" s="60">
        <v>12</v>
      </c>
      <c r="F3" s="60">
        <v>125.8</v>
      </c>
      <c r="G3" s="60">
        <v>1</v>
      </c>
      <c r="H3" s="60">
        <v>0</v>
      </c>
      <c r="I3" s="60">
        <v>26</v>
      </c>
      <c r="J3" s="60">
        <v>252.8</v>
      </c>
      <c r="K3" s="98">
        <v>0.5024</v>
      </c>
      <c r="L3" s="98">
        <v>0.4976</v>
      </c>
      <c r="M3" s="60"/>
      <c r="O3">
        <f t="shared" ref="O3:O34" si="0">I3-G3-H3</f>
        <v>25</v>
      </c>
    </row>
    <row r="4" spans="1:15">
      <c r="A4" s="60">
        <v>13441</v>
      </c>
      <c r="B4" s="60" t="s">
        <v>34</v>
      </c>
      <c r="C4" s="60">
        <v>4</v>
      </c>
      <c r="D4" s="60">
        <v>10.8</v>
      </c>
      <c r="E4" s="60">
        <v>8</v>
      </c>
      <c r="F4" s="60">
        <v>82.6</v>
      </c>
      <c r="G4" s="60">
        <v>1</v>
      </c>
      <c r="H4" s="60">
        <v>0</v>
      </c>
      <c r="I4" s="60">
        <v>13</v>
      </c>
      <c r="J4" s="60">
        <v>93.4</v>
      </c>
      <c r="K4" s="98">
        <v>0.1156</v>
      </c>
      <c r="L4" s="98">
        <v>0.8844</v>
      </c>
      <c r="M4" s="60"/>
      <c r="O4">
        <f t="shared" si="0"/>
        <v>12</v>
      </c>
    </row>
    <row r="5" spans="1:15">
      <c r="A5" s="60">
        <v>13444</v>
      </c>
      <c r="B5" s="60" t="s">
        <v>41</v>
      </c>
      <c r="C5" s="60">
        <v>7</v>
      </c>
      <c r="D5" s="60">
        <v>75.6</v>
      </c>
      <c r="E5" s="60">
        <v>12</v>
      </c>
      <c r="F5" s="60">
        <v>118.2</v>
      </c>
      <c r="G5" s="60">
        <v>2</v>
      </c>
      <c r="H5" s="60">
        <v>0</v>
      </c>
      <c r="I5" s="60">
        <v>21</v>
      </c>
      <c r="J5" s="60">
        <v>193.8</v>
      </c>
      <c r="K5" s="98">
        <v>0.3901</v>
      </c>
      <c r="L5" s="98">
        <v>0.6099</v>
      </c>
      <c r="M5" s="60"/>
      <c r="O5">
        <f t="shared" si="0"/>
        <v>19</v>
      </c>
    </row>
    <row r="6" spans="1:15">
      <c r="A6" s="60">
        <v>18871</v>
      </c>
      <c r="B6" s="60" t="s">
        <v>239</v>
      </c>
      <c r="C6" s="60">
        <v>108</v>
      </c>
      <c r="D6" s="60">
        <v>1504.8</v>
      </c>
      <c r="E6" s="60">
        <v>60</v>
      </c>
      <c r="F6" s="60">
        <v>958</v>
      </c>
      <c r="G6" s="60">
        <v>2</v>
      </c>
      <c r="H6" s="60">
        <v>0</v>
      </c>
      <c r="I6" s="60">
        <v>170</v>
      </c>
      <c r="J6" s="60">
        <v>2462.8</v>
      </c>
      <c r="K6" s="98">
        <v>0.611</v>
      </c>
      <c r="L6" s="98">
        <v>0.389</v>
      </c>
      <c r="M6" s="60"/>
      <c r="O6">
        <f t="shared" si="0"/>
        <v>168</v>
      </c>
    </row>
    <row r="7" spans="1:15">
      <c r="A7" s="60">
        <v>18878</v>
      </c>
      <c r="B7" s="60" t="s">
        <v>118</v>
      </c>
      <c r="C7" s="60">
        <v>18</v>
      </c>
      <c r="D7" s="60">
        <v>259.5</v>
      </c>
      <c r="E7" s="60">
        <v>18</v>
      </c>
      <c r="F7" s="60">
        <v>269.4</v>
      </c>
      <c r="G7" s="60">
        <v>3</v>
      </c>
      <c r="H7" s="60">
        <v>0</v>
      </c>
      <c r="I7" s="60">
        <v>39</v>
      </c>
      <c r="J7" s="60">
        <v>528.9</v>
      </c>
      <c r="K7" s="98">
        <v>0.4906</v>
      </c>
      <c r="L7" s="98">
        <v>0.5094</v>
      </c>
      <c r="M7" s="60"/>
      <c r="O7">
        <f t="shared" si="0"/>
        <v>36</v>
      </c>
    </row>
    <row r="8" spans="1:15">
      <c r="A8" s="60">
        <v>19662</v>
      </c>
      <c r="B8" s="60" t="s">
        <v>31</v>
      </c>
      <c r="C8" s="60">
        <v>18</v>
      </c>
      <c r="D8" s="60">
        <v>188.8</v>
      </c>
      <c r="E8" s="60">
        <v>4</v>
      </c>
      <c r="F8" s="60">
        <v>37.2</v>
      </c>
      <c r="G8" s="60">
        <v>3</v>
      </c>
      <c r="H8" s="60">
        <v>0</v>
      </c>
      <c r="I8" s="60">
        <v>25</v>
      </c>
      <c r="J8" s="60">
        <v>226</v>
      </c>
      <c r="K8" s="98">
        <v>0.8354</v>
      </c>
      <c r="L8" s="98">
        <v>0.1646</v>
      </c>
      <c r="M8" s="60"/>
      <c r="O8">
        <f t="shared" si="0"/>
        <v>22</v>
      </c>
    </row>
    <row r="9" spans="1:15">
      <c r="A9" s="60">
        <v>22335</v>
      </c>
      <c r="B9" s="60" t="s">
        <v>240</v>
      </c>
      <c r="C9" s="60">
        <v>34</v>
      </c>
      <c r="D9" s="60">
        <v>476.9</v>
      </c>
      <c r="E9" s="60">
        <v>14</v>
      </c>
      <c r="F9" s="60">
        <v>220.2</v>
      </c>
      <c r="G9" s="60">
        <v>7</v>
      </c>
      <c r="H9" s="60">
        <v>0</v>
      </c>
      <c r="I9" s="60">
        <v>55</v>
      </c>
      <c r="J9" s="60">
        <v>697.1</v>
      </c>
      <c r="K9" s="98">
        <v>0.6841</v>
      </c>
      <c r="L9" s="98">
        <v>0.3159</v>
      </c>
      <c r="M9" s="60"/>
      <c r="O9">
        <f t="shared" si="0"/>
        <v>48</v>
      </c>
    </row>
    <row r="10" spans="1:15">
      <c r="A10" s="60">
        <v>22340</v>
      </c>
      <c r="B10" s="60" t="s">
        <v>241</v>
      </c>
      <c r="C10" s="60">
        <v>29</v>
      </c>
      <c r="D10" s="60">
        <v>403.7</v>
      </c>
      <c r="E10" s="60">
        <v>18</v>
      </c>
      <c r="F10" s="60">
        <v>275.4</v>
      </c>
      <c r="G10" s="60">
        <v>1</v>
      </c>
      <c r="H10" s="60">
        <v>0</v>
      </c>
      <c r="I10" s="60">
        <v>48</v>
      </c>
      <c r="J10" s="60">
        <v>679.1</v>
      </c>
      <c r="K10" s="98">
        <v>0.5945</v>
      </c>
      <c r="L10" s="98">
        <v>0.4055</v>
      </c>
      <c r="M10" s="60"/>
      <c r="O10">
        <f t="shared" si="0"/>
        <v>47</v>
      </c>
    </row>
    <row r="11" spans="1:15">
      <c r="A11" s="60">
        <v>27748</v>
      </c>
      <c r="B11" s="60" t="s">
        <v>119</v>
      </c>
      <c r="C11" s="60">
        <v>11</v>
      </c>
      <c r="D11" s="60">
        <v>157.4</v>
      </c>
      <c r="E11" s="60">
        <v>4</v>
      </c>
      <c r="F11" s="60">
        <v>63.2</v>
      </c>
      <c r="G11" s="60">
        <v>2</v>
      </c>
      <c r="H11" s="60">
        <v>0</v>
      </c>
      <c r="I11" s="60">
        <v>17</v>
      </c>
      <c r="J11" s="60">
        <v>220.6</v>
      </c>
      <c r="K11" s="98">
        <v>0.7135</v>
      </c>
      <c r="L11" s="98">
        <v>0.2865</v>
      </c>
      <c r="M11" s="60"/>
      <c r="O11">
        <f t="shared" si="0"/>
        <v>15</v>
      </c>
    </row>
    <row r="12" spans="1:15">
      <c r="A12" s="60">
        <v>20858</v>
      </c>
      <c r="B12" s="60" t="s">
        <v>242</v>
      </c>
      <c r="C12" s="60">
        <v>2</v>
      </c>
      <c r="D12" s="60">
        <v>23.7</v>
      </c>
      <c r="E12" s="60">
        <v>0</v>
      </c>
      <c r="F12" s="60">
        <v>0</v>
      </c>
      <c r="G12" s="60">
        <v>0</v>
      </c>
      <c r="H12" s="60">
        <v>0</v>
      </c>
      <c r="I12" s="60">
        <v>2</v>
      </c>
      <c r="J12" s="60">
        <v>23.7</v>
      </c>
      <c r="K12" s="98">
        <v>1</v>
      </c>
      <c r="L12" s="98">
        <v>0</v>
      </c>
      <c r="M12" s="60"/>
      <c r="O12">
        <f t="shared" si="0"/>
        <v>2</v>
      </c>
    </row>
    <row r="13" spans="1:15">
      <c r="A13" s="60">
        <v>20857</v>
      </c>
      <c r="B13" s="60" t="s">
        <v>243</v>
      </c>
      <c r="C13" s="60">
        <v>36</v>
      </c>
      <c r="D13" s="60">
        <v>511.6</v>
      </c>
      <c r="E13" s="60">
        <v>24</v>
      </c>
      <c r="F13" s="60">
        <v>361.2</v>
      </c>
      <c r="G13" s="60">
        <v>0</v>
      </c>
      <c r="H13" s="60">
        <v>0</v>
      </c>
      <c r="I13" s="60">
        <v>60</v>
      </c>
      <c r="J13" s="60">
        <v>872.8</v>
      </c>
      <c r="K13" s="98">
        <v>0.5862</v>
      </c>
      <c r="L13" s="98">
        <v>0.4138</v>
      </c>
      <c r="M13" s="60"/>
      <c r="O13">
        <f t="shared" si="0"/>
        <v>60</v>
      </c>
    </row>
    <row r="14" spans="1:15">
      <c r="A14" s="60">
        <v>12241</v>
      </c>
      <c r="B14" s="60" t="s">
        <v>244</v>
      </c>
      <c r="C14" s="60">
        <v>33</v>
      </c>
      <c r="D14" s="60">
        <v>468.1</v>
      </c>
      <c r="E14" s="60">
        <v>22</v>
      </c>
      <c r="F14" s="60">
        <v>319.6</v>
      </c>
      <c r="G14" s="60">
        <v>0</v>
      </c>
      <c r="H14" s="60">
        <v>0</v>
      </c>
      <c r="I14" s="60">
        <v>55</v>
      </c>
      <c r="J14" s="60">
        <v>787.7</v>
      </c>
      <c r="K14" s="98">
        <v>0.5943</v>
      </c>
      <c r="L14" s="98">
        <v>0.4057</v>
      </c>
      <c r="M14" s="60"/>
      <c r="O14">
        <f t="shared" si="0"/>
        <v>55</v>
      </c>
    </row>
    <row r="15" spans="1:15">
      <c r="A15" s="60">
        <v>12256</v>
      </c>
      <c r="B15" s="60" t="s">
        <v>245</v>
      </c>
      <c r="C15" s="60">
        <v>5</v>
      </c>
      <c r="D15" s="60">
        <v>65.1</v>
      </c>
      <c r="E15" s="60">
        <v>3</v>
      </c>
      <c r="F15" s="60">
        <v>44.4</v>
      </c>
      <c r="G15" s="60">
        <v>0</v>
      </c>
      <c r="H15" s="60">
        <v>0</v>
      </c>
      <c r="I15" s="60">
        <v>8</v>
      </c>
      <c r="J15" s="60">
        <v>109.5</v>
      </c>
      <c r="K15" s="98">
        <v>0.5945</v>
      </c>
      <c r="L15" s="98">
        <v>0.4055</v>
      </c>
      <c r="M15" s="60"/>
      <c r="O15">
        <f t="shared" si="0"/>
        <v>8</v>
      </c>
    </row>
    <row r="16" spans="1:15">
      <c r="A16" s="60">
        <v>12267</v>
      </c>
      <c r="B16" s="60" t="s">
        <v>246</v>
      </c>
      <c r="C16" s="60">
        <v>10</v>
      </c>
      <c r="D16" s="60">
        <v>126.3</v>
      </c>
      <c r="E16" s="60">
        <v>20</v>
      </c>
      <c r="F16" s="60">
        <v>328</v>
      </c>
      <c r="G16" s="60">
        <v>3</v>
      </c>
      <c r="H16" s="60">
        <v>0</v>
      </c>
      <c r="I16" s="60">
        <v>33</v>
      </c>
      <c r="J16" s="60">
        <v>454.3</v>
      </c>
      <c r="K16" s="98">
        <v>0.278</v>
      </c>
      <c r="L16" s="98">
        <v>0.722</v>
      </c>
      <c r="M16" s="60"/>
      <c r="O16">
        <f t="shared" si="0"/>
        <v>30</v>
      </c>
    </row>
    <row r="17" spans="1:15">
      <c r="A17" s="60">
        <v>20770</v>
      </c>
      <c r="B17" s="60" t="s">
        <v>247</v>
      </c>
      <c r="C17" s="60">
        <v>46</v>
      </c>
      <c r="D17" s="60">
        <v>654.7</v>
      </c>
      <c r="E17" s="60">
        <v>29</v>
      </c>
      <c r="F17" s="60">
        <v>453.2</v>
      </c>
      <c r="G17" s="60">
        <v>5</v>
      </c>
      <c r="H17" s="60">
        <v>0</v>
      </c>
      <c r="I17" s="60">
        <v>80</v>
      </c>
      <c r="J17" s="60">
        <v>1107.9</v>
      </c>
      <c r="K17" s="98">
        <v>0.5909</v>
      </c>
      <c r="L17" s="98">
        <v>0.4091</v>
      </c>
      <c r="M17" s="60"/>
      <c r="O17">
        <f t="shared" si="0"/>
        <v>75</v>
      </c>
    </row>
    <row r="18" spans="1:15">
      <c r="A18" s="60">
        <v>29354</v>
      </c>
      <c r="B18" s="60" t="s">
        <v>248</v>
      </c>
      <c r="C18" s="60">
        <v>24</v>
      </c>
      <c r="D18" s="60">
        <v>319</v>
      </c>
      <c r="E18" s="60">
        <v>16</v>
      </c>
      <c r="F18" s="60">
        <v>255.8</v>
      </c>
      <c r="G18" s="60">
        <v>1</v>
      </c>
      <c r="H18" s="60">
        <v>0</v>
      </c>
      <c r="I18" s="60">
        <v>41</v>
      </c>
      <c r="J18" s="60">
        <v>574.8</v>
      </c>
      <c r="K18" s="98">
        <v>0.555</v>
      </c>
      <c r="L18" s="98">
        <v>0.445</v>
      </c>
      <c r="M18" s="60"/>
      <c r="O18">
        <f t="shared" si="0"/>
        <v>40</v>
      </c>
    </row>
    <row r="19" spans="1:15">
      <c r="A19" s="60">
        <v>29355</v>
      </c>
      <c r="B19" s="60" t="s">
        <v>249</v>
      </c>
      <c r="C19" s="60">
        <v>8</v>
      </c>
      <c r="D19" s="60">
        <v>111.6</v>
      </c>
      <c r="E19" s="60">
        <v>14</v>
      </c>
      <c r="F19" s="60">
        <v>223.2</v>
      </c>
      <c r="G19" s="60">
        <v>0</v>
      </c>
      <c r="H19" s="60">
        <v>0</v>
      </c>
      <c r="I19" s="60">
        <v>22</v>
      </c>
      <c r="J19" s="60">
        <v>334.8</v>
      </c>
      <c r="K19" s="98">
        <v>0.3333</v>
      </c>
      <c r="L19" s="98">
        <v>0.6667</v>
      </c>
      <c r="M19" s="60"/>
      <c r="O19">
        <f t="shared" si="0"/>
        <v>22</v>
      </c>
    </row>
    <row r="20" spans="1:15">
      <c r="A20" s="60">
        <v>12239</v>
      </c>
      <c r="B20" s="60" t="s">
        <v>47</v>
      </c>
      <c r="C20" s="60">
        <v>11</v>
      </c>
      <c r="D20" s="60">
        <v>98.86</v>
      </c>
      <c r="E20" s="60">
        <v>27</v>
      </c>
      <c r="F20" s="60">
        <v>207</v>
      </c>
      <c r="G20" s="60">
        <v>1</v>
      </c>
      <c r="H20" s="60">
        <v>0</v>
      </c>
      <c r="I20" s="60">
        <v>39</v>
      </c>
      <c r="J20" s="60">
        <v>305.86</v>
      </c>
      <c r="K20" s="98">
        <v>0.3232</v>
      </c>
      <c r="L20" s="98">
        <v>0.6768</v>
      </c>
      <c r="M20" s="60"/>
      <c r="O20">
        <f t="shared" si="0"/>
        <v>38</v>
      </c>
    </row>
    <row r="21" spans="1:15">
      <c r="A21" s="60">
        <v>16690</v>
      </c>
      <c r="B21" s="60" t="s">
        <v>44</v>
      </c>
      <c r="C21" s="60">
        <v>19</v>
      </c>
      <c r="D21" s="60">
        <v>105.5</v>
      </c>
      <c r="E21" s="60">
        <v>26</v>
      </c>
      <c r="F21" s="60">
        <v>213.6</v>
      </c>
      <c r="G21" s="60">
        <v>3</v>
      </c>
      <c r="H21" s="60">
        <v>0</v>
      </c>
      <c r="I21" s="60">
        <v>48</v>
      </c>
      <c r="J21" s="60">
        <v>319.1</v>
      </c>
      <c r="K21" s="98">
        <v>0.3306</v>
      </c>
      <c r="L21" s="98">
        <v>0.6694</v>
      </c>
      <c r="M21" s="60"/>
      <c r="O21">
        <f t="shared" si="0"/>
        <v>45</v>
      </c>
    </row>
    <row r="22" spans="1:15">
      <c r="A22" s="60">
        <v>12266</v>
      </c>
      <c r="B22" s="60" t="s">
        <v>48</v>
      </c>
      <c r="C22" s="60">
        <v>26</v>
      </c>
      <c r="D22" s="60">
        <v>86.7</v>
      </c>
      <c r="E22" s="60">
        <v>44</v>
      </c>
      <c r="F22" s="60">
        <v>162.8</v>
      </c>
      <c r="G22" s="60">
        <v>1</v>
      </c>
      <c r="H22" s="60">
        <v>0</v>
      </c>
      <c r="I22" s="60">
        <v>71</v>
      </c>
      <c r="J22" s="60">
        <v>249.5</v>
      </c>
      <c r="K22" s="98">
        <v>0.3475</v>
      </c>
      <c r="L22" s="98">
        <v>0.6525</v>
      </c>
      <c r="M22" s="60"/>
      <c r="O22">
        <f t="shared" si="0"/>
        <v>70</v>
      </c>
    </row>
    <row r="23" spans="1:15">
      <c r="A23" s="60">
        <v>33279</v>
      </c>
      <c r="B23" s="60" t="s">
        <v>73</v>
      </c>
      <c r="C23" s="60">
        <v>25</v>
      </c>
      <c r="D23" s="60">
        <v>346.2</v>
      </c>
      <c r="E23" s="60">
        <v>13</v>
      </c>
      <c r="F23" s="60">
        <v>207.4</v>
      </c>
      <c r="G23" s="60">
        <v>2</v>
      </c>
      <c r="H23" s="60">
        <v>0</v>
      </c>
      <c r="I23" s="60">
        <v>40</v>
      </c>
      <c r="J23" s="60">
        <v>553.6</v>
      </c>
      <c r="K23" s="98">
        <v>0.6254</v>
      </c>
      <c r="L23" s="98">
        <v>0.3746</v>
      </c>
      <c r="M23" s="60"/>
      <c r="O23">
        <f t="shared" si="0"/>
        <v>38</v>
      </c>
    </row>
    <row r="24" spans="1:15">
      <c r="A24" s="60">
        <v>33424</v>
      </c>
      <c r="B24" s="60" t="s">
        <v>250</v>
      </c>
      <c r="C24" s="60">
        <v>30</v>
      </c>
      <c r="D24" s="60">
        <v>409.4</v>
      </c>
      <c r="E24" s="60">
        <v>4</v>
      </c>
      <c r="F24" s="60">
        <v>67.2</v>
      </c>
      <c r="G24" s="60">
        <v>0</v>
      </c>
      <c r="H24" s="60">
        <v>0</v>
      </c>
      <c r="I24" s="60">
        <v>34</v>
      </c>
      <c r="J24" s="60">
        <v>476.6</v>
      </c>
      <c r="K24" s="98">
        <v>0.859</v>
      </c>
      <c r="L24" s="98">
        <v>0.141</v>
      </c>
      <c r="M24" s="60"/>
      <c r="O24">
        <f t="shared" si="0"/>
        <v>34</v>
      </c>
    </row>
    <row r="25" spans="1:15">
      <c r="A25" s="60">
        <v>33420</v>
      </c>
      <c r="B25" s="60" t="s">
        <v>251</v>
      </c>
      <c r="C25" s="60">
        <v>46</v>
      </c>
      <c r="D25" s="60">
        <v>653.7</v>
      </c>
      <c r="E25" s="60">
        <v>21</v>
      </c>
      <c r="F25" s="60">
        <v>321.8</v>
      </c>
      <c r="G25" s="60">
        <v>5</v>
      </c>
      <c r="H25" s="60">
        <v>0</v>
      </c>
      <c r="I25" s="60">
        <v>72</v>
      </c>
      <c r="J25" s="60">
        <v>975.5</v>
      </c>
      <c r="K25" s="98">
        <v>0.6701</v>
      </c>
      <c r="L25" s="98">
        <v>0.3299</v>
      </c>
      <c r="M25" s="60"/>
      <c r="O25">
        <f t="shared" si="0"/>
        <v>67</v>
      </c>
    </row>
    <row r="26" spans="1:15">
      <c r="A26" s="60">
        <v>33423</v>
      </c>
      <c r="B26" s="60" t="s">
        <v>252</v>
      </c>
      <c r="C26" s="60">
        <v>3</v>
      </c>
      <c r="D26" s="60">
        <v>48.4</v>
      </c>
      <c r="E26" s="60">
        <v>3</v>
      </c>
      <c r="F26" s="60">
        <v>48.4</v>
      </c>
      <c r="G26" s="60">
        <v>1</v>
      </c>
      <c r="H26" s="60">
        <v>0</v>
      </c>
      <c r="I26" s="60">
        <v>7</v>
      </c>
      <c r="J26" s="60">
        <v>96.8</v>
      </c>
      <c r="K26" s="98">
        <v>0.5</v>
      </c>
      <c r="L26" s="98">
        <v>0.5</v>
      </c>
      <c r="M26" s="60"/>
      <c r="O26">
        <f t="shared" si="0"/>
        <v>6</v>
      </c>
    </row>
    <row r="27" spans="1:15">
      <c r="A27" s="60">
        <v>33422</v>
      </c>
      <c r="B27" s="60" t="s">
        <v>253</v>
      </c>
      <c r="C27" s="60">
        <v>16</v>
      </c>
      <c r="D27" s="60">
        <v>233.6</v>
      </c>
      <c r="E27" s="60">
        <v>7</v>
      </c>
      <c r="F27" s="60">
        <v>108.6</v>
      </c>
      <c r="G27" s="60">
        <v>3</v>
      </c>
      <c r="H27" s="60">
        <v>0</v>
      </c>
      <c r="I27" s="60">
        <v>26</v>
      </c>
      <c r="J27" s="60">
        <v>342.2</v>
      </c>
      <c r="K27" s="98">
        <v>0.6826</v>
      </c>
      <c r="L27" s="98">
        <v>0.3174</v>
      </c>
      <c r="M27" s="60"/>
      <c r="O27">
        <f t="shared" si="0"/>
        <v>23</v>
      </c>
    </row>
    <row r="28" spans="1:15">
      <c r="A28" s="60">
        <v>33427</v>
      </c>
      <c r="B28" s="60" t="s">
        <v>254</v>
      </c>
      <c r="C28" s="60">
        <v>45</v>
      </c>
      <c r="D28" s="60">
        <v>620</v>
      </c>
      <c r="E28" s="60">
        <v>28</v>
      </c>
      <c r="F28" s="60">
        <v>438.4</v>
      </c>
      <c r="G28" s="60">
        <v>0</v>
      </c>
      <c r="H28" s="60">
        <v>0</v>
      </c>
      <c r="I28" s="60">
        <v>73</v>
      </c>
      <c r="J28" s="60">
        <v>1058.4</v>
      </c>
      <c r="K28" s="98">
        <v>0.5858</v>
      </c>
      <c r="L28" s="98">
        <v>0.4142</v>
      </c>
      <c r="M28" s="60"/>
      <c r="O28">
        <f t="shared" si="0"/>
        <v>73</v>
      </c>
    </row>
    <row r="29" spans="1:15">
      <c r="A29" s="60"/>
      <c r="B29" s="60" t="s">
        <v>320</v>
      </c>
      <c r="C29" s="60">
        <v>3</v>
      </c>
      <c r="D29" s="60">
        <v>23.2</v>
      </c>
      <c r="E29" s="60">
        <v>6</v>
      </c>
      <c r="F29" s="60">
        <v>62</v>
      </c>
      <c r="G29" s="60">
        <v>0</v>
      </c>
      <c r="H29" s="60">
        <v>0</v>
      </c>
      <c r="I29" s="60">
        <v>9</v>
      </c>
      <c r="J29" s="60">
        <v>85.2</v>
      </c>
      <c r="K29" s="98">
        <v>0.2723</v>
      </c>
      <c r="L29" s="98">
        <v>0.7277</v>
      </c>
      <c r="M29" s="60"/>
      <c r="O29">
        <f t="shared" si="0"/>
        <v>9</v>
      </c>
    </row>
    <row r="30" spans="1:15">
      <c r="A30" s="60">
        <v>33416</v>
      </c>
      <c r="B30" s="60" t="s">
        <v>255</v>
      </c>
      <c r="C30" s="60">
        <v>4</v>
      </c>
      <c r="D30" s="60">
        <v>47.4</v>
      </c>
      <c r="E30" s="60">
        <v>5</v>
      </c>
      <c r="F30" s="60">
        <v>77</v>
      </c>
      <c r="G30" s="60">
        <v>1</v>
      </c>
      <c r="H30" s="60">
        <v>0</v>
      </c>
      <c r="I30" s="60">
        <v>10</v>
      </c>
      <c r="J30" s="60">
        <v>124.4</v>
      </c>
      <c r="K30" s="98">
        <v>0.381</v>
      </c>
      <c r="L30" s="98">
        <v>0.619</v>
      </c>
      <c r="M30" s="60"/>
      <c r="O30">
        <f t="shared" si="0"/>
        <v>9</v>
      </c>
    </row>
    <row r="31" spans="1:15">
      <c r="A31" s="60">
        <v>33418</v>
      </c>
      <c r="B31" s="60" t="s">
        <v>256</v>
      </c>
      <c r="C31" s="60">
        <v>13</v>
      </c>
      <c r="D31" s="60">
        <v>186.5</v>
      </c>
      <c r="E31" s="60">
        <v>16</v>
      </c>
      <c r="F31" s="60">
        <v>237.8</v>
      </c>
      <c r="G31" s="60">
        <v>2</v>
      </c>
      <c r="H31" s="60">
        <v>0</v>
      </c>
      <c r="I31" s="60">
        <v>31</v>
      </c>
      <c r="J31" s="60">
        <v>424.3</v>
      </c>
      <c r="K31" s="98">
        <v>0.4395</v>
      </c>
      <c r="L31" s="98">
        <v>0.5605</v>
      </c>
      <c r="M31" s="60"/>
      <c r="O31">
        <f t="shared" si="0"/>
        <v>29</v>
      </c>
    </row>
    <row r="32" spans="1:15">
      <c r="A32" s="60"/>
      <c r="B32" s="60" t="s">
        <v>321</v>
      </c>
      <c r="C32" s="60">
        <v>0</v>
      </c>
      <c r="D32" s="60">
        <v>0</v>
      </c>
      <c r="E32" s="60">
        <v>1</v>
      </c>
      <c r="F32" s="60">
        <v>10.8</v>
      </c>
      <c r="G32" s="60">
        <v>0</v>
      </c>
      <c r="H32" s="60">
        <v>0</v>
      </c>
      <c r="I32" s="60">
        <v>1</v>
      </c>
      <c r="J32" s="60">
        <v>10.8</v>
      </c>
      <c r="K32" s="98">
        <v>0</v>
      </c>
      <c r="L32" s="98">
        <v>1</v>
      </c>
      <c r="M32" s="60"/>
      <c r="O32">
        <f t="shared" si="0"/>
        <v>1</v>
      </c>
    </row>
    <row r="33" spans="1:15">
      <c r="A33" s="60">
        <v>33412</v>
      </c>
      <c r="B33" s="60" t="s">
        <v>154</v>
      </c>
      <c r="C33" s="60">
        <v>16</v>
      </c>
      <c r="D33" s="60">
        <v>144.1</v>
      </c>
      <c r="E33" s="60">
        <v>19</v>
      </c>
      <c r="F33" s="60">
        <v>203.6</v>
      </c>
      <c r="G33" s="60">
        <v>0</v>
      </c>
      <c r="H33" s="60">
        <v>0</v>
      </c>
      <c r="I33" s="60">
        <v>35</v>
      </c>
      <c r="J33" s="60">
        <v>347.7</v>
      </c>
      <c r="K33" s="98">
        <v>0.4144</v>
      </c>
      <c r="L33" s="98">
        <v>0.5856</v>
      </c>
      <c r="M33" s="60"/>
      <c r="O33">
        <f t="shared" si="0"/>
        <v>35</v>
      </c>
    </row>
    <row r="34" spans="1:15">
      <c r="A34" s="60">
        <v>33417</v>
      </c>
      <c r="B34" s="60" t="s">
        <v>158</v>
      </c>
      <c r="C34" s="60">
        <v>34</v>
      </c>
      <c r="D34" s="60">
        <v>329.8</v>
      </c>
      <c r="E34" s="60">
        <v>16</v>
      </c>
      <c r="F34" s="60">
        <v>155.2</v>
      </c>
      <c r="G34" s="60">
        <v>2</v>
      </c>
      <c r="H34" s="60">
        <v>0</v>
      </c>
      <c r="I34" s="60">
        <v>52</v>
      </c>
      <c r="J34" s="60">
        <v>485</v>
      </c>
      <c r="K34" s="98">
        <v>0.68</v>
      </c>
      <c r="L34" s="98">
        <v>0.32</v>
      </c>
      <c r="M34" s="60"/>
      <c r="O34">
        <f t="shared" si="0"/>
        <v>50</v>
      </c>
    </row>
    <row r="35" spans="1:15">
      <c r="A35" s="60">
        <v>33516</v>
      </c>
      <c r="B35" s="60" t="s">
        <v>257</v>
      </c>
      <c r="C35" s="60">
        <v>0</v>
      </c>
      <c r="D35" s="60">
        <v>0</v>
      </c>
      <c r="E35" s="60">
        <v>4</v>
      </c>
      <c r="F35" s="60">
        <v>20.8</v>
      </c>
      <c r="G35" s="60">
        <v>1</v>
      </c>
      <c r="H35" s="60">
        <v>0</v>
      </c>
      <c r="I35" s="60">
        <v>5</v>
      </c>
      <c r="J35" s="60">
        <v>20.8</v>
      </c>
      <c r="K35" s="98">
        <v>0</v>
      </c>
      <c r="L35" s="98">
        <v>1</v>
      </c>
      <c r="M35" s="60"/>
      <c r="O35">
        <f t="shared" ref="O35:O66" si="1">I35-G35-H35</f>
        <v>4</v>
      </c>
    </row>
    <row r="36" spans="1:15">
      <c r="A36" s="60">
        <v>33430</v>
      </c>
      <c r="B36" s="60" t="s">
        <v>258</v>
      </c>
      <c r="C36" s="60">
        <v>26</v>
      </c>
      <c r="D36" s="60">
        <v>329.6</v>
      </c>
      <c r="E36" s="60">
        <v>14</v>
      </c>
      <c r="F36" s="60">
        <v>219.2</v>
      </c>
      <c r="G36" s="60">
        <v>2</v>
      </c>
      <c r="H36" s="60">
        <v>0</v>
      </c>
      <c r="I36" s="60">
        <v>42</v>
      </c>
      <c r="J36" s="60">
        <v>548.8</v>
      </c>
      <c r="K36" s="98">
        <v>0.6006</v>
      </c>
      <c r="L36" s="98">
        <v>0.3994</v>
      </c>
      <c r="M36" s="60"/>
      <c r="O36">
        <f t="shared" si="1"/>
        <v>40</v>
      </c>
    </row>
    <row r="37" spans="1:15">
      <c r="A37" s="60">
        <v>33512</v>
      </c>
      <c r="B37" s="60" t="s">
        <v>259</v>
      </c>
      <c r="C37" s="60">
        <v>12</v>
      </c>
      <c r="D37" s="60">
        <v>155.9</v>
      </c>
      <c r="E37" s="60">
        <v>5</v>
      </c>
      <c r="F37" s="60">
        <v>76</v>
      </c>
      <c r="G37" s="60">
        <v>1</v>
      </c>
      <c r="H37" s="60">
        <v>0</v>
      </c>
      <c r="I37" s="60">
        <v>18</v>
      </c>
      <c r="J37" s="60">
        <v>231.9</v>
      </c>
      <c r="K37" s="98">
        <v>0.6723</v>
      </c>
      <c r="L37" s="98">
        <v>0.3277</v>
      </c>
      <c r="M37" s="60"/>
      <c r="O37">
        <f t="shared" si="1"/>
        <v>17</v>
      </c>
    </row>
    <row r="38" spans="1:15">
      <c r="A38" s="60">
        <v>33511</v>
      </c>
      <c r="B38" s="60" t="s">
        <v>115</v>
      </c>
      <c r="C38" s="60">
        <v>1</v>
      </c>
      <c r="D38" s="60">
        <v>14.8</v>
      </c>
      <c r="E38" s="60">
        <v>1</v>
      </c>
      <c r="F38" s="60">
        <v>15.8</v>
      </c>
      <c r="G38" s="60">
        <v>2</v>
      </c>
      <c r="H38" s="60">
        <v>0</v>
      </c>
      <c r="I38" s="60">
        <v>4</v>
      </c>
      <c r="J38" s="60">
        <v>30.6</v>
      </c>
      <c r="K38" s="98">
        <v>0.4837</v>
      </c>
      <c r="L38" s="98">
        <v>0.5163</v>
      </c>
      <c r="M38" s="60"/>
      <c r="O38">
        <f t="shared" si="1"/>
        <v>2</v>
      </c>
    </row>
    <row r="39" spans="1:15">
      <c r="A39" s="60">
        <v>33514</v>
      </c>
      <c r="B39" s="60" t="s">
        <v>116</v>
      </c>
      <c r="C39" s="60">
        <v>21</v>
      </c>
      <c r="D39" s="60">
        <v>290.2</v>
      </c>
      <c r="E39" s="60">
        <v>6</v>
      </c>
      <c r="F39" s="60">
        <v>91.8</v>
      </c>
      <c r="G39" s="60">
        <v>6</v>
      </c>
      <c r="H39" s="60">
        <v>0</v>
      </c>
      <c r="I39" s="60">
        <v>33</v>
      </c>
      <c r="J39" s="60">
        <v>382</v>
      </c>
      <c r="K39" s="98">
        <v>0.7597</v>
      </c>
      <c r="L39" s="98">
        <v>0.2403</v>
      </c>
      <c r="M39" s="60"/>
      <c r="O39">
        <f t="shared" si="1"/>
        <v>27</v>
      </c>
    </row>
    <row r="40" spans="1:15">
      <c r="A40" s="60">
        <v>33413</v>
      </c>
      <c r="B40" s="60" t="s">
        <v>260</v>
      </c>
      <c r="C40" s="60">
        <v>50</v>
      </c>
      <c r="D40" s="60">
        <v>642.7</v>
      </c>
      <c r="E40" s="60">
        <v>37</v>
      </c>
      <c r="F40" s="60">
        <v>563.6</v>
      </c>
      <c r="G40" s="60">
        <v>2</v>
      </c>
      <c r="H40" s="60">
        <v>0</v>
      </c>
      <c r="I40" s="60">
        <v>89</v>
      </c>
      <c r="J40" s="60">
        <v>1206.3</v>
      </c>
      <c r="K40" s="98">
        <v>0.5328</v>
      </c>
      <c r="L40" s="98">
        <v>0.4672</v>
      </c>
      <c r="M40" s="60"/>
      <c r="O40">
        <f t="shared" si="1"/>
        <v>87</v>
      </c>
    </row>
    <row r="41" spans="1:15">
      <c r="A41" s="60">
        <v>33515</v>
      </c>
      <c r="B41" s="60" t="s">
        <v>160</v>
      </c>
      <c r="C41" s="60">
        <v>7</v>
      </c>
      <c r="D41" s="60">
        <v>67.8</v>
      </c>
      <c r="E41" s="60">
        <v>7</v>
      </c>
      <c r="F41" s="60">
        <v>67.8</v>
      </c>
      <c r="G41" s="60">
        <v>0</v>
      </c>
      <c r="H41" s="60">
        <v>0</v>
      </c>
      <c r="I41" s="60">
        <v>14</v>
      </c>
      <c r="J41" s="60">
        <v>135.6</v>
      </c>
      <c r="K41" s="98">
        <v>0.5</v>
      </c>
      <c r="L41" s="98">
        <v>0.5</v>
      </c>
      <c r="M41" s="60"/>
      <c r="O41">
        <f t="shared" si="1"/>
        <v>14</v>
      </c>
    </row>
    <row r="42" spans="1:15">
      <c r="A42" s="60">
        <v>33513</v>
      </c>
      <c r="B42" s="60" t="s">
        <v>261</v>
      </c>
      <c r="C42" s="60">
        <v>58</v>
      </c>
      <c r="D42" s="60">
        <v>732.8</v>
      </c>
      <c r="E42" s="60">
        <v>10</v>
      </c>
      <c r="F42" s="60">
        <v>150</v>
      </c>
      <c r="G42" s="60">
        <v>2</v>
      </c>
      <c r="H42" s="60">
        <v>0</v>
      </c>
      <c r="I42" s="60">
        <v>70</v>
      </c>
      <c r="J42" s="60">
        <v>882.8</v>
      </c>
      <c r="K42" s="98">
        <v>0.8301</v>
      </c>
      <c r="L42" s="98">
        <v>0.1699</v>
      </c>
      <c r="M42" s="60"/>
      <c r="O42">
        <f t="shared" si="1"/>
        <v>68</v>
      </c>
    </row>
    <row r="43" spans="1:15">
      <c r="A43" s="60">
        <v>66331</v>
      </c>
      <c r="B43" s="60" t="s">
        <v>184</v>
      </c>
      <c r="C43" s="60">
        <v>148</v>
      </c>
      <c r="D43" s="60">
        <v>2058.3</v>
      </c>
      <c r="E43" s="60">
        <v>47</v>
      </c>
      <c r="F43" s="60">
        <v>755.6</v>
      </c>
      <c r="G43" s="60">
        <v>0</v>
      </c>
      <c r="H43" s="60">
        <v>0</v>
      </c>
      <c r="I43" s="60">
        <v>195</v>
      </c>
      <c r="J43" s="60">
        <v>2813.9</v>
      </c>
      <c r="K43" s="98">
        <v>0.7315</v>
      </c>
      <c r="L43" s="98">
        <v>0.2685</v>
      </c>
      <c r="M43" s="60"/>
      <c r="O43">
        <f t="shared" si="1"/>
        <v>195</v>
      </c>
    </row>
    <row r="44" spans="1:15">
      <c r="A44" s="60">
        <v>33524</v>
      </c>
      <c r="B44" s="60" t="s">
        <v>180</v>
      </c>
      <c r="C44" s="60">
        <v>5</v>
      </c>
      <c r="D44" s="60">
        <v>34</v>
      </c>
      <c r="E44" s="60">
        <v>27</v>
      </c>
      <c r="F44" s="60">
        <v>176</v>
      </c>
      <c r="G44" s="60">
        <v>0</v>
      </c>
      <c r="H44" s="60">
        <v>0</v>
      </c>
      <c r="I44" s="60">
        <v>32</v>
      </c>
      <c r="J44" s="60">
        <v>210</v>
      </c>
      <c r="K44" s="98">
        <v>0.1619</v>
      </c>
      <c r="L44" s="98">
        <v>0.8381</v>
      </c>
      <c r="M44" s="60"/>
      <c r="O44">
        <f t="shared" si="1"/>
        <v>32</v>
      </c>
    </row>
    <row r="45" spans="1:15">
      <c r="A45" s="60">
        <v>52935</v>
      </c>
      <c r="B45" s="60" t="s">
        <v>25</v>
      </c>
      <c r="C45" s="60">
        <v>16</v>
      </c>
      <c r="D45" s="60">
        <v>167</v>
      </c>
      <c r="E45" s="60">
        <v>33</v>
      </c>
      <c r="F45" s="60">
        <v>371.4</v>
      </c>
      <c r="G45" s="60">
        <v>1</v>
      </c>
      <c r="H45" s="60">
        <v>0</v>
      </c>
      <c r="I45" s="60">
        <v>50</v>
      </c>
      <c r="J45" s="60">
        <v>538.4</v>
      </c>
      <c r="K45" s="98">
        <v>0.3102</v>
      </c>
      <c r="L45" s="98">
        <v>0.6898</v>
      </c>
      <c r="M45" s="60"/>
      <c r="O45">
        <f t="shared" si="1"/>
        <v>49</v>
      </c>
    </row>
    <row r="46" spans="1:15">
      <c r="A46" s="60">
        <v>54632</v>
      </c>
      <c r="B46" s="60" t="s">
        <v>262</v>
      </c>
      <c r="C46" s="60">
        <v>32</v>
      </c>
      <c r="D46" s="60">
        <v>460.1</v>
      </c>
      <c r="E46" s="60">
        <v>31</v>
      </c>
      <c r="F46" s="60">
        <v>481.8</v>
      </c>
      <c r="G46" s="60">
        <v>0</v>
      </c>
      <c r="H46" s="60">
        <v>0</v>
      </c>
      <c r="I46" s="60">
        <v>63</v>
      </c>
      <c r="J46" s="60">
        <v>941.9</v>
      </c>
      <c r="K46" s="98">
        <v>0.4885</v>
      </c>
      <c r="L46" s="98">
        <v>0.5115</v>
      </c>
      <c r="M46" s="60"/>
      <c r="O46">
        <f t="shared" si="1"/>
        <v>63</v>
      </c>
    </row>
    <row r="47" spans="1:15">
      <c r="A47" s="60">
        <v>33690</v>
      </c>
      <c r="B47" s="60" t="s">
        <v>263</v>
      </c>
      <c r="C47" s="60">
        <v>5</v>
      </c>
      <c r="D47" s="60">
        <v>73.1</v>
      </c>
      <c r="E47" s="60">
        <v>9</v>
      </c>
      <c r="F47" s="60">
        <v>150.2</v>
      </c>
      <c r="G47" s="60">
        <v>0</v>
      </c>
      <c r="H47" s="60">
        <v>0</v>
      </c>
      <c r="I47" s="60">
        <v>14</v>
      </c>
      <c r="J47" s="60">
        <v>223.3</v>
      </c>
      <c r="K47" s="98">
        <v>0.3274</v>
      </c>
      <c r="L47" s="98">
        <v>0.6726</v>
      </c>
      <c r="M47" s="60"/>
      <c r="O47">
        <f t="shared" si="1"/>
        <v>14</v>
      </c>
    </row>
    <row r="48" spans="1:15">
      <c r="A48" s="60">
        <v>33682</v>
      </c>
      <c r="B48" s="60" t="s">
        <v>264</v>
      </c>
      <c r="C48" s="60">
        <v>9</v>
      </c>
      <c r="D48" s="60">
        <v>145.2</v>
      </c>
      <c r="E48" s="60">
        <v>6</v>
      </c>
      <c r="F48" s="60">
        <v>98.8</v>
      </c>
      <c r="G48" s="60">
        <v>0</v>
      </c>
      <c r="H48" s="60">
        <v>0</v>
      </c>
      <c r="I48" s="60">
        <v>15</v>
      </c>
      <c r="J48" s="60">
        <v>244</v>
      </c>
      <c r="K48" s="98">
        <v>0.5951</v>
      </c>
      <c r="L48" s="98">
        <v>0.4049</v>
      </c>
      <c r="M48" s="60"/>
      <c r="O48">
        <f t="shared" si="1"/>
        <v>15</v>
      </c>
    </row>
    <row r="49" spans="1:15">
      <c r="A49" s="60">
        <v>33527</v>
      </c>
      <c r="B49" s="60" t="s">
        <v>265</v>
      </c>
      <c r="C49" s="60">
        <v>15</v>
      </c>
      <c r="D49" s="60">
        <v>210.2</v>
      </c>
      <c r="E49" s="60">
        <v>13</v>
      </c>
      <c r="F49" s="60">
        <v>190.4</v>
      </c>
      <c r="G49" s="60">
        <v>0</v>
      </c>
      <c r="H49" s="60">
        <v>0</v>
      </c>
      <c r="I49" s="60">
        <v>28</v>
      </c>
      <c r="J49" s="60">
        <v>400.6</v>
      </c>
      <c r="K49" s="98">
        <v>0.5247</v>
      </c>
      <c r="L49" s="98">
        <v>0.4753</v>
      </c>
      <c r="M49" s="60"/>
      <c r="O49">
        <f t="shared" si="1"/>
        <v>28</v>
      </c>
    </row>
    <row r="50" spans="1:15">
      <c r="A50" s="60">
        <v>33692</v>
      </c>
      <c r="B50" s="60" t="s">
        <v>266</v>
      </c>
      <c r="C50" s="60">
        <v>6</v>
      </c>
      <c r="D50" s="60">
        <v>84.5</v>
      </c>
      <c r="E50" s="60">
        <v>10</v>
      </c>
      <c r="F50" s="60">
        <v>152</v>
      </c>
      <c r="G50" s="60">
        <v>0</v>
      </c>
      <c r="H50" s="60">
        <v>0</v>
      </c>
      <c r="I50" s="60">
        <v>16</v>
      </c>
      <c r="J50" s="60">
        <v>236.5</v>
      </c>
      <c r="K50" s="98">
        <v>0.3573</v>
      </c>
      <c r="L50" s="98">
        <v>0.6427</v>
      </c>
      <c r="M50" s="60"/>
      <c r="O50">
        <f t="shared" si="1"/>
        <v>16</v>
      </c>
    </row>
    <row r="51" spans="1:15">
      <c r="A51" s="60">
        <v>33688</v>
      </c>
      <c r="B51" s="60" t="s">
        <v>267</v>
      </c>
      <c r="C51" s="60">
        <v>2</v>
      </c>
      <c r="D51" s="60">
        <v>33.6</v>
      </c>
      <c r="E51" s="60">
        <v>2</v>
      </c>
      <c r="F51" s="60">
        <v>29.6</v>
      </c>
      <c r="G51" s="60">
        <v>1</v>
      </c>
      <c r="H51" s="60">
        <v>0</v>
      </c>
      <c r="I51" s="60">
        <v>5</v>
      </c>
      <c r="J51" s="60">
        <v>63.2</v>
      </c>
      <c r="K51" s="98">
        <v>0.5316</v>
      </c>
      <c r="L51" s="98">
        <v>0.4684</v>
      </c>
      <c r="M51" s="60"/>
      <c r="O51">
        <f t="shared" si="1"/>
        <v>4</v>
      </c>
    </row>
    <row r="52" spans="1:15">
      <c r="A52" s="60">
        <v>33687</v>
      </c>
      <c r="B52" s="60" t="s">
        <v>213</v>
      </c>
      <c r="C52" s="60">
        <v>24</v>
      </c>
      <c r="D52" s="60">
        <v>337</v>
      </c>
      <c r="E52" s="60">
        <v>36</v>
      </c>
      <c r="F52" s="60">
        <v>567.8</v>
      </c>
      <c r="G52" s="60">
        <v>0</v>
      </c>
      <c r="H52" s="60">
        <v>0</v>
      </c>
      <c r="I52" s="60">
        <v>60</v>
      </c>
      <c r="J52" s="60">
        <v>904.8</v>
      </c>
      <c r="K52" s="98">
        <v>0.3725</v>
      </c>
      <c r="L52" s="98">
        <v>0.6275</v>
      </c>
      <c r="M52" s="60"/>
      <c r="O52">
        <f t="shared" si="1"/>
        <v>60</v>
      </c>
    </row>
    <row r="53" spans="1:15">
      <c r="A53" s="60">
        <v>33679</v>
      </c>
      <c r="B53" s="60" t="s">
        <v>268</v>
      </c>
      <c r="C53" s="60">
        <v>13</v>
      </c>
      <c r="D53" s="60">
        <v>163.3</v>
      </c>
      <c r="E53" s="60">
        <v>4</v>
      </c>
      <c r="F53" s="60">
        <v>63.2</v>
      </c>
      <c r="G53" s="60">
        <v>3</v>
      </c>
      <c r="H53" s="60">
        <v>0</v>
      </c>
      <c r="I53" s="60">
        <v>20</v>
      </c>
      <c r="J53" s="60">
        <v>226.5</v>
      </c>
      <c r="K53" s="98">
        <v>0.721</v>
      </c>
      <c r="L53" s="98">
        <v>0.279</v>
      </c>
      <c r="M53" s="60"/>
      <c r="O53">
        <f t="shared" si="1"/>
        <v>17</v>
      </c>
    </row>
    <row r="54" spans="1:15">
      <c r="A54" s="60">
        <v>33525</v>
      </c>
      <c r="B54" s="60" t="s">
        <v>39</v>
      </c>
      <c r="C54" s="60">
        <v>0</v>
      </c>
      <c r="D54" s="60">
        <v>0</v>
      </c>
      <c r="E54" s="60">
        <v>18</v>
      </c>
      <c r="F54" s="60">
        <v>55</v>
      </c>
      <c r="G54" s="60">
        <v>1</v>
      </c>
      <c r="H54" s="60">
        <v>0</v>
      </c>
      <c r="I54" s="60">
        <v>19</v>
      </c>
      <c r="J54" s="60">
        <v>55</v>
      </c>
      <c r="K54" s="98">
        <v>0</v>
      </c>
      <c r="L54" s="98">
        <v>1</v>
      </c>
      <c r="M54" s="60"/>
      <c r="O54">
        <f t="shared" si="1"/>
        <v>18</v>
      </c>
    </row>
    <row r="55" spans="1:15">
      <c r="A55" s="60">
        <v>33686</v>
      </c>
      <c r="B55" s="60" t="s">
        <v>322</v>
      </c>
      <c r="C55" s="60">
        <v>13</v>
      </c>
      <c r="D55" s="60">
        <v>195.5</v>
      </c>
      <c r="E55" s="60">
        <v>20</v>
      </c>
      <c r="F55" s="60">
        <v>323</v>
      </c>
      <c r="G55" s="60">
        <v>0</v>
      </c>
      <c r="H55" s="60">
        <v>0</v>
      </c>
      <c r="I55" s="60">
        <v>33</v>
      </c>
      <c r="J55" s="60">
        <v>518.5</v>
      </c>
      <c r="K55" s="98">
        <v>0.377</v>
      </c>
      <c r="L55" s="98">
        <v>0.623</v>
      </c>
      <c r="M55" s="60"/>
      <c r="O55">
        <f t="shared" si="1"/>
        <v>33</v>
      </c>
    </row>
    <row r="56" spans="1:15">
      <c r="A56" s="60">
        <v>33529</v>
      </c>
      <c r="B56" s="60" t="s">
        <v>269</v>
      </c>
      <c r="C56" s="60">
        <v>47</v>
      </c>
      <c r="D56" s="60">
        <v>667</v>
      </c>
      <c r="E56" s="60">
        <v>35</v>
      </c>
      <c r="F56" s="60">
        <v>541</v>
      </c>
      <c r="G56" s="60">
        <v>0</v>
      </c>
      <c r="H56" s="60">
        <v>0</v>
      </c>
      <c r="I56" s="60">
        <v>82</v>
      </c>
      <c r="J56" s="60">
        <v>1208</v>
      </c>
      <c r="K56" s="98">
        <v>0.5522</v>
      </c>
      <c r="L56" s="98">
        <v>0.4478</v>
      </c>
      <c r="M56" s="60"/>
      <c r="O56">
        <f t="shared" si="1"/>
        <v>82</v>
      </c>
    </row>
    <row r="57" spans="1:15">
      <c r="A57" s="60">
        <v>33526</v>
      </c>
      <c r="B57" s="60" t="s">
        <v>270</v>
      </c>
      <c r="C57" s="60">
        <v>14</v>
      </c>
      <c r="D57" s="60">
        <v>215.8</v>
      </c>
      <c r="E57" s="60">
        <v>11</v>
      </c>
      <c r="F57" s="60">
        <v>177.8</v>
      </c>
      <c r="G57" s="60">
        <v>0</v>
      </c>
      <c r="H57" s="60">
        <v>0</v>
      </c>
      <c r="I57" s="60">
        <v>25</v>
      </c>
      <c r="J57" s="60">
        <v>393.6</v>
      </c>
      <c r="K57" s="98">
        <v>0.5483</v>
      </c>
      <c r="L57" s="98">
        <v>0.4517</v>
      </c>
      <c r="M57" s="60"/>
      <c r="O57">
        <f t="shared" si="1"/>
        <v>25</v>
      </c>
    </row>
    <row r="58" spans="1:15">
      <c r="A58" s="60">
        <v>33517</v>
      </c>
      <c r="B58" s="60" t="s">
        <v>271</v>
      </c>
      <c r="C58" s="60">
        <v>7</v>
      </c>
      <c r="D58" s="60">
        <v>100.2</v>
      </c>
      <c r="E58" s="60">
        <v>8</v>
      </c>
      <c r="F58" s="60">
        <v>125.4</v>
      </c>
      <c r="G58" s="60">
        <v>0</v>
      </c>
      <c r="H58" s="60">
        <v>0</v>
      </c>
      <c r="I58" s="60">
        <v>15</v>
      </c>
      <c r="J58" s="60">
        <v>225.6</v>
      </c>
      <c r="K58" s="98">
        <v>0.4441</v>
      </c>
      <c r="L58" s="98">
        <v>0.5559</v>
      </c>
      <c r="M58" s="60"/>
      <c r="O58">
        <f t="shared" si="1"/>
        <v>15</v>
      </c>
    </row>
    <row r="59" spans="1:15">
      <c r="A59" s="60">
        <v>33428</v>
      </c>
      <c r="B59" s="60" t="s">
        <v>82</v>
      </c>
      <c r="C59" s="60">
        <v>14</v>
      </c>
      <c r="D59" s="60">
        <v>221.2</v>
      </c>
      <c r="E59" s="60">
        <v>17</v>
      </c>
      <c r="F59" s="60">
        <v>262.6</v>
      </c>
      <c r="G59" s="60">
        <v>2</v>
      </c>
      <c r="H59" s="60">
        <v>0</v>
      </c>
      <c r="I59" s="60">
        <v>33</v>
      </c>
      <c r="J59" s="60">
        <v>483.8</v>
      </c>
      <c r="K59" s="98">
        <v>0.4572</v>
      </c>
      <c r="L59" s="98">
        <v>0.5428</v>
      </c>
      <c r="M59" s="60"/>
      <c r="O59">
        <f t="shared" si="1"/>
        <v>31</v>
      </c>
    </row>
    <row r="60" spans="1:15">
      <c r="A60" s="60">
        <v>22253</v>
      </c>
      <c r="B60" s="60" t="s">
        <v>59</v>
      </c>
      <c r="C60" s="60">
        <v>10</v>
      </c>
      <c r="D60" s="60">
        <v>44</v>
      </c>
      <c r="E60" s="60">
        <v>0</v>
      </c>
      <c r="F60" s="60">
        <v>0</v>
      </c>
      <c r="G60" s="60">
        <v>0</v>
      </c>
      <c r="H60" s="60">
        <v>0</v>
      </c>
      <c r="I60" s="60">
        <v>10</v>
      </c>
      <c r="J60" s="60">
        <v>44</v>
      </c>
      <c r="K60" s="98">
        <v>1</v>
      </c>
      <c r="L60" s="98">
        <v>0</v>
      </c>
      <c r="M60" s="60"/>
      <c r="O60">
        <f t="shared" si="1"/>
        <v>10</v>
      </c>
    </row>
    <row r="61" spans="1:15">
      <c r="A61" s="60">
        <v>22209</v>
      </c>
      <c r="B61" s="60" t="s">
        <v>272</v>
      </c>
      <c r="C61" s="60">
        <v>16</v>
      </c>
      <c r="D61" s="60">
        <v>237.9</v>
      </c>
      <c r="E61" s="60">
        <v>10</v>
      </c>
      <c r="F61" s="60">
        <v>152</v>
      </c>
      <c r="G61" s="60">
        <v>0</v>
      </c>
      <c r="H61" s="60">
        <v>0</v>
      </c>
      <c r="I61" s="60">
        <v>26</v>
      </c>
      <c r="J61" s="60">
        <v>389.9</v>
      </c>
      <c r="K61" s="98">
        <v>0.6102</v>
      </c>
      <c r="L61" s="98">
        <v>0.3898</v>
      </c>
      <c r="M61" s="60"/>
      <c r="O61">
        <f t="shared" si="1"/>
        <v>26</v>
      </c>
    </row>
    <row r="62" spans="1:15">
      <c r="A62" s="60">
        <v>19393</v>
      </c>
      <c r="B62" s="60" t="s">
        <v>177</v>
      </c>
      <c r="C62" s="60">
        <v>0</v>
      </c>
      <c r="D62" s="60">
        <v>0</v>
      </c>
      <c r="E62" s="60">
        <v>11</v>
      </c>
      <c r="F62" s="60">
        <v>53.9</v>
      </c>
      <c r="G62" s="60">
        <v>2</v>
      </c>
      <c r="H62" s="60">
        <v>0</v>
      </c>
      <c r="I62" s="60">
        <v>13</v>
      </c>
      <c r="J62" s="60">
        <v>53.9</v>
      </c>
      <c r="K62" s="98">
        <v>0</v>
      </c>
      <c r="L62" s="98">
        <v>1</v>
      </c>
      <c r="M62" s="60"/>
      <c r="O62">
        <f t="shared" si="1"/>
        <v>11</v>
      </c>
    </row>
    <row r="63" spans="1:15">
      <c r="A63" s="60">
        <v>22254</v>
      </c>
      <c r="B63" s="60" t="s">
        <v>54</v>
      </c>
      <c r="C63" s="60">
        <v>0</v>
      </c>
      <c r="D63" s="60">
        <v>0</v>
      </c>
      <c r="E63" s="60">
        <v>10</v>
      </c>
      <c r="F63" s="60">
        <v>47</v>
      </c>
      <c r="G63" s="60">
        <v>3</v>
      </c>
      <c r="H63" s="60">
        <v>0</v>
      </c>
      <c r="I63" s="60">
        <v>13</v>
      </c>
      <c r="J63" s="60">
        <v>47</v>
      </c>
      <c r="K63" s="98">
        <v>0</v>
      </c>
      <c r="L63" s="98">
        <v>1</v>
      </c>
      <c r="M63" s="60"/>
      <c r="O63">
        <f t="shared" si="1"/>
        <v>10</v>
      </c>
    </row>
    <row r="64" spans="1:15">
      <c r="A64" s="60">
        <v>20905</v>
      </c>
      <c r="B64" s="60" t="s">
        <v>66</v>
      </c>
      <c r="C64" s="60">
        <v>33</v>
      </c>
      <c r="D64" s="60">
        <v>466.7</v>
      </c>
      <c r="E64" s="60">
        <v>15</v>
      </c>
      <c r="F64" s="60">
        <v>222</v>
      </c>
      <c r="G64" s="60">
        <v>2</v>
      </c>
      <c r="H64" s="60">
        <v>0</v>
      </c>
      <c r="I64" s="60">
        <v>50</v>
      </c>
      <c r="J64" s="60">
        <v>688.7</v>
      </c>
      <c r="K64" s="98">
        <v>0.6777</v>
      </c>
      <c r="L64" s="98">
        <v>0.3223</v>
      </c>
      <c r="M64" s="60"/>
      <c r="O64">
        <f t="shared" si="1"/>
        <v>48</v>
      </c>
    </row>
    <row r="65" spans="1:15">
      <c r="A65" s="60">
        <v>74081</v>
      </c>
      <c r="B65" s="60" t="s">
        <v>28</v>
      </c>
      <c r="C65" s="60">
        <v>110</v>
      </c>
      <c r="D65" s="60">
        <v>1656.4</v>
      </c>
      <c r="E65" s="60">
        <v>82</v>
      </c>
      <c r="F65" s="60">
        <v>1354.6</v>
      </c>
      <c r="G65" s="60">
        <v>0</v>
      </c>
      <c r="H65" s="60">
        <v>0</v>
      </c>
      <c r="I65" s="60">
        <v>192</v>
      </c>
      <c r="J65" s="60">
        <v>3011</v>
      </c>
      <c r="K65" s="98">
        <v>0.5501</v>
      </c>
      <c r="L65" s="98">
        <v>0.4499</v>
      </c>
      <c r="M65" s="60"/>
      <c r="O65">
        <f t="shared" si="1"/>
        <v>192</v>
      </c>
    </row>
    <row r="66" spans="1:15">
      <c r="A66" s="60">
        <v>30012</v>
      </c>
      <c r="B66" s="60" t="s">
        <v>67</v>
      </c>
      <c r="C66" s="60">
        <v>8</v>
      </c>
      <c r="D66" s="60">
        <v>117</v>
      </c>
      <c r="E66" s="60">
        <v>6</v>
      </c>
      <c r="F66" s="60">
        <v>92.8</v>
      </c>
      <c r="G66" s="60">
        <v>1</v>
      </c>
      <c r="H66" s="60">
        <v>0</v>
      </c>
      <c r="I66" s="60">
        <v>15</v>
      </c>
      <c r="J66" s="60">
        <v>209.8</v>
      </c>
      <c r="K66" s="98">
        <v>0.5577</v>
      </c>
      <c r="L66" s="98">
        <v>0.4423</v>
      </c>
      <c r="M66" s="60"/>
      <c r="O66">
        <f t="shared" si="1"/>
        <v>14</v>
      </c>
    </row>
    <row r="67" spans="1:15">
      <c r="A67" s="60">
        <v>26990</v>
      </c>
      <c r="B67" s="60" t="s">
        <v>72</v>
      </c>
      <c r="C67" s="60">
        <v>31</v>
      </c>
      <c r="D67" s="60">
        <v>378</v>
      </c>
      <c r="E67" s="60">
        <v>23</v>
      </c>
      <c r="F67" s="60">
        <v>365.4</v>
      </c>
      <c r="G67" s="60">
        <v>5</v>
      </c>
      <c r="H67" s="60">
        <v>0</v>
      </c>
      <c r="I67" s="60">
        <v>59</v>
      </c>
      <c r="J67" s="60">
        <v>743.4</v>
      </c>
      <c r="K67" s="98">
        <v>0.5085</v>
      </c>
      <c r="L67" s="98">
        <v>0.4915</v>
      </c>
      <c r="M67" s="60"/>
      <c r="O67">
        <f t="shared" ref="O67:O98" si="2">I67-G67-H67</f>
        <v>54</v>
      </c>
    </row>
    <row r="68" spans="1:15">
      <c r="A68" s="60">
        <v>67234</v>
      </c>
      <c r="B68" s="60" t="s">
        <v>273</v>
      </c>
      <c r="C68" s="60">
        <v>124</v>
      </c>
      <c r="D68" s="60">
        <v>1984.1</v>
      </c>
      <c r="E68" s="60">
        <v>122</v>
      </c>
      <c r="F68" s="60">
        <v>2027.6</v>
      </c>
      <c r="G68" s="60">
        <v>3</v>
      </c>
      <c r="H68" s="60">
        <v>0</v>
      </c>
      <c r="I68" s="60">
        <v>249</v>
      </c>
      <c r="J68" s="60">
        <v>4011.7</v>
      </c>
      <c r="K68" s="98">
        <v>0.4946</v>
      </c>
      <c r="L68" s="98">
        <v>0.5054</v>
      </c>
      <c r="M68" s="60"/>
      <c r="O68">
        <f t="shared" si="2"/>
        <v>246</v>
      </c>
    </row>
    <row r="69" spans="1:15">
      <c r="A69" s="60">
        <v>26986</v>
      </c>
      <c r="B69" s="60" t="s">
        <v>68</v>
      </c>
      <c r="C69" s="60">
        <v>52</v>
      </c>
      <c r="D69" s="60">
        <v>719.8</v>
      </c>
      <c r="E69" s="60">
        <v>33</v>
      </c>
      <c r="F69" s="60">
        <v>506.4</v>
      </c>
      <c r="G69" s="60">
        <v>0</v>
      </c>
      <c r="H69" s="60">
        <v>0</v>
      </c>
      <c r="I69" s="60">
        <v>85</v>
      </c>
      <c r="J69" s="60">
        <v>1226.2</v>
      </c>
      <c r="K69" s="98">
        <v>0.587</v>
      </c>
      <c r="L69" s="98">
        <v>0.413</v>
      </c>
      <c r="M69" s="60"/>
      <c r="O69">
        <f t="shared" si="2"/>
        <v>85</v>
      </c>
    </row>
    <row r="70" spans="1:15">
      <c r="A70" s="60">
        <v>33675</v>
      </c>
      <c r="B70" s="60" t="s">
        <v>219</v>
      </c>
      <c r="C70" s="60">
        <v>10</v>
      </c>
      <c r="D70" s="60">
        <v>142.2</v>
      </c>
      <c r="E70" s="60">
        <v>8</v>
      </c>
      <c r="F70" s="60">
        <v>129.4</v>
      </c>
      <c r="G70" s="60">
        <v>0</v>
      </c>
      <c r="H70" s="60">
        <v>0</v>
      </c>
      <c r="I70" s="60">
        <v>18</v>
      </c>
      <c r="J70" s="60">
        <v>271.6</v>
      </c>
      <c r="K70" s="98">
        <v>0.5236</v>
      </c>
      <c r="L70" s="98">
        <v>0.4764</v>
      </c>
      <c r="M70" s="60"/>
      <c r="O70">
        <f t="shared" si="2"/>
        <v>18</v>
      </c>
    </row>
    <row r="71" spans="1:15">
      <c r="A71" s="60">
        <v>23396</v>
      </c>
      <c r="B71" s="60" t="s">
        <v>193</v>
      </c>
      <c r="C71" s="60">
        <v>60</v>
      </c>
      <c r="D71" s="60">
        <v>866.8</v>
      </c>
      <c r="E71" s="60">
        <v>22</v>
      </c>
      <c r="F71" s="60">
        <v>340.6</v>
      </c>
      <c r="G71" s="60">
        <v>0</v>
      </c>
      <c r="H71" s="60">
        <v>0</v>
      </c>
      <c r="I71" s="60">
        <v>82</v>
      </c>
      <c r="J71" s="60">
        <v>1207.4</v>
      </c>
      <c r="K71" s="98">
        <v>0.7179</v>
      </c>
      <c r="L71" s="98">
        <v>0.2821</v>
      </c>
      <c r="M71" s="60"/>
      <c r="O71">
        <f t="shared" si="2"/>
        <v>82</v>
      </c>
    </row>
    <row r="72" spans="1:15">
      <c r="A72" s="60">
        <v>26394</v>
      </c>
      <c r="B72" s="60" t="s">
        <v>274</v>
      </c>
      <c r="C72" s="60">
        <v>22</v>
      </c>
      <c r="D72" s="60">
        <v>73.25</v>
      </c>
      <c r="E72" s="60">
        <v>69</v>
      </c>
      <c r="F72" s="60">
        <v>320.6</v>
      </c>
      <c r="G72" s="60">
        <v>1</v>
      </c>
      <c r="H72" s="60">
        <v>0</v>
      </c>
      <c r="I72" s="60">
        <v>92</v>
      </c>
      <c r="J72" s="60">
        <v>393.85</v>
      </c>
      <c r="K72" s="98">
        <v>0.186</v>
      </c>
      <c r="L72" s="98">
        <v>0.814</v>
      </c>
      <c r="M72" s="60"/>
      <c r="O72">
        <f t="shared" si="2"/>
        <v>91</v>
      </c>
    </row>
    <row r="73" spans="1:15">
      <c r="A73" s="60">
        <v>23401</v>
      </c>
      <c r="B73" s="60" t="s">
        <v>275</v>
      </c>
      <c r="C73" s="60">
        <v>0</v>
      </c>
      <c r="D73" s="60">
        <v>0</v>
      </c>
      <c r="E73" s="60">
        <v>3</v>
      </c>
      <c r="F73" s="60">
        <v>15</v>
      </c>
      <c r="G73" s="60">
        <v>0</v>
      </c>
      <c r="H73" s="60">
        <v>0</v>
      </c>
      <c r="I73" s="60">
        <v>3</v>
      </c>
      <c r="J73" s="60">
        <v>15</v>
      </c>
      <c r="K73" s="98">
        <v>0</v>
      </c>
      <c r="L73" s="98">
        <v>1</v>
      </c>
      <c r="M73" s="60"/>
      <c r="O73">
        <f t="shared" si="2"/>
        <v>3</v>
      </c>
    </row>
    <row r="74" spans="1:15">
      <c r="A74" s="60">
        <v>20915</v>
      </c>
      <c r="B74" s="60" t="s">
        <v>276</v>
      </c>
      <c r="C74" s="60">
        <v>7</v>
      </c>
      <c r="D74" s="60">
        <v>107.2</v>
      </c>
      <c r="E74" s="60">
        <v>5</v>
      </c>
      <c r="F74" s="60">
        <v>73</v>
      </c>
      <c r="G74" s="60">
        <v>4</v>
      </c>
      <c r="H74" s="60">
        <v>0</v>
      </c>
      <c r="I74" s="60">
        <v>16</v>
      </c>
      <c r="J74" s="60">
        <v>180.2</v>
      </c>
      <c r="K74" s="98">
        <v>0.5949</v>
      </c>
      <c r="L74" s="98">
        <v>0.4051</v>
      </c>
      <c r="M74" s="60"/>
      <c r="O74">
        <f t="shared" si="2"/>
        <v>12</v>
      </c>
    </row>
    <row r="75" spans="1:15">
      <c r="A75" s="60">
        <v>22220</v>
      </c>
      <c r="B75" s="60" t="s">
        <v>192</v>
      </c>
      <c r="C75" s="60">
        <v>145</v>
      </c>
      <c r="D75" s="60">
        <v>2003.9</v>
      </c>
      <c r="E75" s="60">
        <v>78</v>
      </c>
      <c r="F75" s="60">
        <v>1220.4</v>
      </c>
      <c r="G75" s="60">
        <v>0</v>
      </c>
      <c r="H75" s="60">
        <v>0</v>
      </c>
      <c r="I75" s="60">
        <v>223</v>
      </c>
      <c r="J75" s="60">
        <v>3224.3</v>
      </c>
      <c r="K75" s="98">
        <v>0.6215</v>
      </c>
      <c r="L75" s="98">
        <v>0.3785</v>
      </c>
      <c r="M75" s="60"/>
      <c r="O75">
        <f t="shared" si="2"/>
        <v>223</v>
      </c>
    </row>
    <row r="76" spans="1:15">
      <c r="A76" s="60">
        <v>26041</v>
      </c>
      <c r="B76" s="60" t="s">
        <v>277</v>
      </c>
      <c r="C76" s="60">
        <v>3</v>
      </c>
      <c r="D76" s="60">
        <v>21.6</v>
      </c>
      <c r="E76" s="60">
        <v>8</v>
      </c>
      <c r="F76" s="60">
        <v>86.4</v>
      </c>
      <c r="G76" s="60">
        <v>0</v>
      </c>
      <c r="H76" s="60">
        <v>0</v>
      </c>
      <c r="I76" s="60">
        <v>11</v>
      </c>
      <c r="J76" s="60">
        <v>108</v>
      </c>
      <c r="K76" s="98">
        <v>0.2</v>
      </c>
      <c r="L76" s="98">
        <v>0.8</v>
      </c>
      <c r="M76" s="60"/>
      <c r="O76">
        <f t="shared" si="2"/>
        <v>11</v>
      </c>
    </row>
    <row r="77" spans="1:15">
      <c r="A77" s="60">
        <v>26042</v>
      </c>
      <c r="B77" s="60" t="s">
        <v>278</v>
      </c>
      <c r="C77" s="60">
        <v>12</v>
      </c>
      <c r="D77" s="60">
        <v>123.8</v>
      </c>
      <c r="E77" s="60">
        <v>7</v>
      </c>
      <c r="F77" s="60">
        <v>66.8</v>
      </c>
      <c r="G77" s="60">
        <v>0</v>
      </c>
      <c r="H77" s="60">
        <v>0</v>
      </c>
      <c r="I77" s="60">
        <v>19</v>
      </c>
      <c r="J77" s="60">
        <v>190.6</v>
      </c>
      <c r="K77" s="98">
        <v>0.6495</v>
      </c>
      <c r="L77" s="98">
        <v>0.3505</v>
      </c>
      <c r="M77" s="60"/>
      <c r="O77">
        <f t="shared" si="2"/>
        <v>19</v>
      </c>
    </row>
    <row r="78" spans="1:15">
      <c r="A78" s="60">
        <v>26040</v>
      </c>
      <c r="B78" s="60" t="s">
        <v>279</v>
      </c>
      <c r="C78" s="60">
        <v>12</v>
      </c>
      <c r="D78" s="60">
        <v>118.2</v>
      </c>
      <c r="E78" s="60">
        <v>7</v>
      </c>
      <c r="F78" s="60">
        <v>73.6</v>
      </c>
      <c r="G78" s="60">
        <v>0</v>
      </c>
      <c r="H78" s="60">
        <v>0</v>
      </c>
      <c r="I78" s="60">
        <v>19</v>
      </c>
      <c r="J78" s="60">
        <v>191.8</v>
      </c>
      <c r="K78" s="98">
        <v>0.6163</v>
      </c>
      <c r="L78" s="98">
        <v>0.3837</v>
      </c>
      <c r="M78" s="60"/>
      <c r="O78">
        <f t="shared" si="2"/>
        <v>19</v>
      </c>
    </row>
    <row r="79" spans="1:15">
      <c r="A79" s="60">
        <v>18857</v>
      </c>
      <c r="B79" s="60" t="s">
        <v>280</v>
      </c>
      <c r="C79" s="60">
        <v>3</v>
      </c>
      <c r="D79" s="60">
        <v>37.5</v>
      </c>
      <c r="E79" s="60">
        <v>3</v>
      </c>
      <c r="F79" s="60">
        <v>49.4</v>
      </c>
      <c r="G79" s="60">
        <v>1</v>
      </c>
      <c r="H79" s="60">
        <v>0</v>
      </c>
      <c r="I79" s="60">
        <v>7</v>
      </c>
      <c r="J79" s="60">
        <v>86.9</v>
      </c>
      <c r="K79" s="98">
        <v>0.4315</v>
      </c>
      <c r="L79" s="98">
        <v>0.5685</v>
      </c>
      <c r="M79" s="60"/>
      <c r="O79">
        <f t="shared" si="2"/>
        <v>6</v>
      </c>
    </row>
    <row r="80" spans="1:15">
      <c r="A80" s="60">
        <v>22169</v>
      </c>
      <c r="B80" s="60" t="s">
        <v>281</v>
      </c>
      <c r="C80" s="60">
        <v>25</v>
      </c>
      <c r="D80" s="60">
        <v>345.5</v>
      </c>
      <c r="E80" s="60">
        <v>24</v>
      </c>
      <c r="F80" s="60">
        <v>381.2</v>
      </c>
      <c r="G80" s="60">
        <v>0</v>
      </c>
      <c r="H80" s="60">
        <v>0</v>
      </c>
      <c r="I80" s="60">
        <v>49</v>
      </c>
      <c r="J80" s="60">
        <v>726.7</v>
      </c>
      <c r="K80" s="98">
        <v>0.4754</v>
      </c>
      <c r="L80" s="98">
        <v>0.5246</v>
      </c>
      <c r="M80" s="60"/>
      <c r="O80">
        <f t="shared" si="2"/>
        <v>49</v>
      </c>
    </row>
    <row r="81" spans="1:15">
      <c r="A81" s="60">
        <v>22461</v>
      </c>
      <c r="B81" s="60" t="s">
        <v>121</v>
      </c>
      <c r="C81" s="60">
        <v>15</v>
      </c>
      <c r="D81" s="60">
        <v>223.7</v>
      </c>
      <c r="E81" s="60">
        <v>14</v>
      </c>
      <c r="F81" s="60">
        <v>226.2</v>
      </c>
      <c r="G81" s="60">
        <v>2</v>
      </c>
      <c r="H81" s="60">
        <v>0</v>
      </c>
      <c r="I81" s="60">
        <v>31</v>
      </c>
      <c r="J81" s="60">
        <v>449.9</v>
      </c>
      <c r="K81" s="98">
        <v>0.4972</v>
      </c>
      <c r="L81" s="98">
        <v>0.5028</v>
      </c>
      <c r="M81" s="60"/>
      <c r="O81">
        <f t="shared" si="2"/>
        <v>29</v>
      </c>
    </row>
    <row r="82" spans="1:15">
      <c r="A82" s="60">
        <v>20903</v>
      </c>
      <c r="B82" s="60" t="s">
        <v>120</v>
      </c>
      <c r="C82" s="60">
        <v>43</v>
      </c>
      <c r="D82" s="60">
        <v>623.5</v>
      </c>
      <c r="E82" s="60">
        <v>32</v>
      </c>
      <c r="F82" s="60">
        <v>494.6</v>
      </c>
      <c r="G82" s="60">
        <v>3</v>
      </c>
      <c r="H82" s="60">
        <v>0</v>
      </c>
      <c r="I82" s="60">
        <v>78</v>
      </c>
      <c r="J82" s="60">
        <v>1118.1</v>
      </c>
      <c r="K82" s="98">
        <v>0.5576</v>
      </c>
      <c r="L82" s="98">
        <v>0.4424</v>
      </c>
      <c r="M82" s="60"/>
      <c r="O82">
        <f t="shared" si="2"/>
        <v>75</v>
      </c>
    </row>
    <row r="83" spans="1:15">
      <c r="A83" s="60">
        <v>22247</v>
      </c>
      <c r="B83" s="60" t="s">
        <v>282</v>
      </c>
      <c r="C83" s="60">
        <v>68</v>
      </c>
      <c r="D83" s="60">
        <v>1018.2</v>
      </c>
      <c r="E83" s="60">
        <v>38</v>
      </c>
      <c r="F83" s="60">
        <v>585.4</v>
      </c>
      <c r="G83" s="60">
        <v>1</v>
      </c>
      <c r="H83" s="60">
        <v>0</v>
      </c>
      <c r="I83" s="60">
        <v>107</v>
      </c>
      <c r="J83" s="60">
        <v>1603.6</v>
      </c>
      <c r="K83" s="98">
        <v>0.6349</v>
      </c>
      <c r="L83" s="98">
        <v>0.3651</v>
      </c>
      <c r="M83" s="60"/>
      <c r="O83">
        <f t="shared" si="2"/>
        <v>106</v>
      </c>
    </row>
    <row r="84" spans="1:15">
      <c r="A84" s="60">
        <v>22258</v>
      </c>
      <c r="B84" s="60" t="s">
        <v>167</v>
      </c>
      <c r="C84" s="60">
        <v>48</v>
      </c>
      <c r="D84" s="60">
        <v>360</v>
      </c>
      <c r="E84" s="60">
        <v>54</v>
      </c>
      <c r="F84" s="60">
        <v>432</v>
      </c>
      <c r="G84" s="60">
        <v>1</v>
      </c>
      <c r="H84" s="60">
        <v>0</v>
      </c>
      <c r="I84" s="60">
        <v>103</v>
      </c>
      <c r="J84" s="60">
        <v>792</v>
      </c>
      <c r="K84" s="98">
        <v>0.4545</v>
      </c>
      <c r="L84" s="98">
        <v>0.5455</v>
      </c>
      <c r="M84" s="60"/>
      <c r="O84">
        <f t="shared" si="2"/>
        <v>102</v>
      </c>
    </row>
    <row r="85" spans="1:15">
      <c r="A85" s="60">
        <v>22219</v>
      </c>
      <c r="B85" s="60" t="s">
        <v>283</v>
      </c>
      <c r="C85" s="60">
        <v>31</v>
      </c>
      <c r="D85" s="60">
        <v>437.9</v>
      </c>
      <c r="E85" s="60">
        <v>9</v>
      </c>
      <c r="F85" s="60">
        <v>137.2</v>
      </c>
      <c r="G85" s="60">
        <v>1</v>
      </c>
      <c r="H85" s="60">
        <v>0</v>
      </c>
      <c r="I85" s="60">
        <v>41</v>
      </c>
      <c r="J85" s="60">
        <v>575.1</v>
      </c>
      <c r="K85" s="98">
        <v>0.7614</v>
      </c>
      <c r="L85" s="98">
        <v>0.2386</v>
      </c>
      <c r="M85" s="60"/>
      <c r="O85">
        <f t="shared" si="2"/>
        <v>40</v>
      </c>
    </row>
    <row r="86" spans="1:15">
      <c r="A86" s="60">
        <v>35948</v>
      </c>
      <c r="B86" s="60" t="s">
        <v>284</v>
      </c>
      <c r="C86" s="60">
        <v>67</v>
      </c>
      <c r="D86" s="60">
        <v>694.08</v>
      </c>
      <c r="E86" s="60">
        <v>29</v>
      </c>
      <c r="F86" s="60">
        <v>324</v>
      </c>
      <c r="G86" s="60">
        <v>4</v>
      </c>
      <c r="H86" s="60">
        <v>0</v>
      </c>
      <c r="I86" s="60">
        <v>100</v>
      </c>
      <c r="J86" s="60">
        <v>1018.08</v>
      </c>
      <c r="K86" s="98">
        <v>0.6818</v>
      </c>
      <c r="L86" s="98">
        <v>0.3182</v>
      </c>
      <c r="M86" s="60"/>
      <c r="O86">
        <f t="shared" si="2"/>
        <v>96</v>
      </c>
    </row>
    <row r="87" spans="1:15">
      <c r="A87" s="60">
        <v>22462</v>
      </c>
      <c r="B87" s="60" t="s">
        <v>178</v>
      </c>
      <c r="C87" s="60">
        <v>8</v>
      </c>
      <c r="D87" s="60">
        <v>26.3</v>
      </c>
      <c r="E87" s="60">
        <v>7</v>
      </c>
      <c r="F87" s="60">
        <v>33</v>
      </c>
      <c r="G87" s="60">
        <v>1</v>
      </c>
      <c r="H87" s="60">
        <v>0</v>
      </c>
      <c r="I87" s="60">
        <v>16</v>
      </c>
      <c r="J87" s="60">
        <v>59.3</v>
      </c>
      <c r="K87" s="98">
        <v>0.4435</v>
      </c>
      <c r="L87" s="98">
        <v>0.5565</v>
      </c>
      <c r="M87" s="60"/>
      <c r="O87">
        <f t="shared" si="2"/>
        <v>15</v>
      </c>
    </row>
    <row r="88" spans="1:15">
      <c r="A88" s="60">
        <v>36601</v>
      </c>
      <c r="B88" s="60" t="s">
        <v>285</v>
      </c>
      <c r="C88" s="60">
        <v>13</v>
      </c>
      <c r="D88" s="60">
        <v>202.5</v>
      </c>
      <c r="E88" s="60">
        <v>4</v>
      </c>
      <c r="F88" s="60">
        <v>61.2</v>
      </c>
      <c r="G88" s="60">
        <v>0</v>
      </c>
      <c r="H88" s="60">
        <v>0</v>
      </c>
      <c r="I88" s="60">
        <v>17</v>
      </c>
      <c r="J88" s="60">
        <v>263.7</v>
      </c>
      <c r="K88" s="98">
        <v>0.7679</v>
      </c>
      <c r="L88" s="98">
        <v>0.2321</v>
      </c>
      <c r="M88" s="60"/>
      <c r="O88">
        <f t="shared" si="2"/>
        <v>17</v>
      </c>
    </row>
    <row r="89" spans="1:15">
      <c r="A89" s="60">
        <v>23400</v>
      </c>
      <c r="B89" s="60" t="s">
        <v>40</v>
      </c>
      <c r="C89" s="60">
        <v>28</v>
      </c>
      <c r="D89" s="60">
        <v>160</v>
      </c>
      <c r="E89" s="60">
        <v>21</v>
      </c>
      <c r="F89" s="60">
        <v>125</v>
      </c>
      <c r="G89" s="60">
        <v>4</v>
      </c>
      <c r="H89" s="60">
        <v>0</v>
      </c>
      <c r="I89" s="60">
        <v>53</v>
      </c>
      <c r="J89" s="60">
        <v>285</v>
      </c>
      <c r="K89" s="98">
        <v>0.5614</v>
      </c>
      <c r="L89" s="98">
        <v>0.4386</v>
      </c>
      <c r="M89" s="60"/>
      <c r="O89">
        <f t="shared" si="2"/>
        <v>49</v>
      </c>
    </row>
    <row r="90" spans="1:15">
      <c r="A90" s="60">
        <v>23399</v>
      </c>
      <c r="B90" s="60" t="s">
        <v>38</v>
      </c>
      <c r="C90" s="60">
        <v>18</v>
      </c>
      <c r="D90" s="60">
        <v>180.8</v>
      </c>
      <c r="E90" s="60">
        <v>23</v>
      </c>
      <c r="F90" s="60">
        <v>235.2</v>
      </c>
      <c r="G90" s="60">
        <v>1</v>
      </c>
      <c r="H90" s="60">
        <v>0</v>
      </c>
      <c r="I90" s="60">
        <v>42</v>
      </c>
      <c r="J90" s="60">
        <v>416</v>
      </c>
      <c r="K90" s="98">
        <v>0.4346</v>
      </c>
      <c r="L90" s="98">
        <v>0.5654</v>
      </c>
      <c r="M90" s="60"/>
      <c r="O90">
        <f t="shared" si="2"/>
        <v>41</v>
      </c>
    </row>
    <row r="91" spans="1:15">
      <c r="A91" s="60">
        <v>18890</v>
      </c>
      <c r="B91" s="60" t="s">
        <v>286</v>
      </c>
      <c r="C91" s="60">
        <v>34</v>
      </c>
      <c r="D91" s="60">
        <v>326.24</v>
      </c>
      <c r="E91" s="60">
        <v>29</v>
      </c>
      <c r="F91" s="60">
        <v>274.8</v>
      </c>
      <c r="G91" s="60">
        <v>1</v>
      </c>
      <c r="H91" s="60">
        <v>0</v>
      </c>
      <c r="I91" s="60">
        <v>64</v>
      </c>
      <c r="J91" s="60">
        <v>601.04</v>
      </c>
      <c r="K91" s="98">
        <v>0.5428</v>
      </c>
      <c r="L91" s="98">
        <v>0.4572</v>
      </c>
      <c r="M91" s="60"/>
      <c r="O91">
        <f t="shared" si="2"/>
        <v>63</v>
      </c>
    </row>
    <row r="92" spans="1:15">
      <c r="A92" s="60">
        <v>19823</v>
      </c>
      <c r="B92" s="60" t="s">
        <v>287</v>
      </c>
      <c r="C92" s="60">
        <v>0</v>
      </c>
      <c r="D92" s="60">
        <v>0</v>
      </c>
      <c r="E92" s="60">
        <v>10</v>
      </c>
      <c r="F92" s="60">
        <v>49</v>
      </c>
      <c r="G92" s="60">
        <v>2</v>
      </c>
      <c r="H92" s="60">
        <v>0</v>
      </c>
      <c r="I92" s="60">
        <v>12</v>
      </c>
      <c r="J92" s="60">
        <v>49</v>
      </c>
      <c r="K92" s="98">
        <v>0</v>
      </c>
      <c r="L92" s="98">
        <v>1</v>
      </c>
      <c r="M92" s="60"/>
      <c r="O92">
        <f t="shared" si="2"/>
        <v>10</v>
      </c>
    </row>
    <row r="93" spans="1:15">
      <c r="A93" s="60">
        <v>23395</v>
      </c>
      <c r="B93" s="60" t="s">
        <v>168</v>
      </c>
      <c r="C93" s="60">
        <v>1</v>
      </c>
      <c r="D93" s="60">
        <v>8</v>
      </c>
      <c r="E93" s="60">
        <v>1</v>
      </c>
      <c r="F93" s="60">
        <v>8</v>
      </c>
      <c r="G93" s="60">
        <v>0</v>
      </c>
      <c r="H93" s="60">
        <v>0</v>
      </c>
      <c r="I93" s="60">
        <v>2</v>
      </c>
      <c r="J93" s="60">
        <v>16</v>
      </c>
      <c r="K93" s="98">
        <v>0.5</v>
      </c>
      <c r="L93" s="98">
        <v>0.5</v>
      </c>
      <c r="M93" s="60"/>
      <c r="O93">
        <f t="shared" si="2"/>
        <v>2</v>
      </c>
    </row>
    <row r="94" spans="1:15">
      <c r="A94" s="60">
        <v>39288</v>
      </c>
      <c r="B94" s="60" t="s">
        <v>55</v>
      </c>
      <c r="C94" s="60">
        <v>0</v>
      </c>
      <c r="D94" s="60">
        <v>0</v>
      </c>
      <c r="E94" s="60">
        <v>20</v>
      </c>
      <c r="F94" s="60">
        <v>167</v>
      </c>
      <c r="G94" s="60">
        <v>0</v>
      </c>
      <c r="H94" s="60">
        <v>0</v>
      </c>
      <c r="I94" s="60">
        <v>20</v>
      </c>
      <c r="J94" s="60">
        <v>167</v>
      </c>
      <c r="K94" s="98">
        <v>0</v>
      </c>
      <c r="L94" s="98">
        <v>1</v>
      </c>
      <c r="M94" s="60"/>
      <c r="O94">
        <f t="shared" si="2"/>
        <v>20</v>
      </c>
    </row>
    <row r="95" spans="1:15">
      <c r="A95" s="60">
        <v>39289</v>
      </c>
      <c r="B95" s="60" t="s">
        <v>56</v>
      </c>
      <c r="C95" s="60">
        <v>0</v>
      </c>
      <c r="D95" s="60">
        <v>0</v>
      </c>
      <c r="E95" s="60">
        <v>32</v>
      </c>
      <c r="F95" s="60">
        <v>293.6</v>
      </c>
      <c r="G95" s="60">
        <v>0</v>
      </c>
      <c r="H95" s="60">
        <v>0</v>
      </c>
      <c r="I95" s="60">
        <v>32</v>
      </c>
      <c r="J95" s="60">
        <v>293.6</v>
      </c>
      <c r="K95" s="98">
        <v>0</v>
      </c>
      <c r="L95" s="98">
        <v>1</v>
      </c>
      <c r="M95" s="60"/>
      <c r="O95">
        <f t="shared" si="2"/>
        <v>32</v>
      </c>
    </row>
    <row r="96" spans="1:15">
      <c r="A96" s="60">
        <v>37604</v>
      </c>
      <c r="B96" s="60" t="s">
        <v>50</v>
      </c>
      <c r="C96" s="60">
        <v>1</v>
      </c>
      <c r="D96" s="60">
        <v>4.5</v>
      </c>
      <c r="E96" s="60">
        <v>34</v>
      </c>
      <c r="F96" s="60">
        <v>128.5</v>
      </c>
      <c r="G96" s="60">
        <v>0</v>
      </c>
      <c r="H96" s="60">
        <v>0</v>
      </c>
      <c r="I96" s="60">
        <v>35</v>
      </c>
      <c r="J96" s="60">
        <v>133</v>
      </c>
      <c r="K96" s="98">
        <v>0.0338</v>
      </c>
      <c r="L96" s="98">
        <v>0.9662</v>
      </c>
      <c r="M96" s="60"/>
      <c r="O96">
        <f t="shared" si="2"/>
        <v>35</v>
      </c>
    </row>
    <row r="97" spans="1:15">
      <c r="A97" s="60">
        <v>22176</v>
      </c>
      <c r="B97" s="60" t="s">
        <v>69</v>
      </c>
      <c r="C97" s="60">
        <v>18</v>
      </c>
      <c r="D97" s="60">
        <v>238.5</v>
      </c>
      <c r="E97" s="60">
        <v>11</v>
      </c>
      <c r="F97" s="60">
        <v>172.8</v>
      </c>
      <c r="G97" s="60">
        <v>0</v>
      </c>
      <c r="H97" s="60">
        <v>0</v>
      </c>
      <c r="I97" s="60">
        <v>29</v>
      </c>
      <c r="J97" s="60">
        <v>411.3</v>
      </c>
      <c r="K97" s="98">
        <v>0.5799</v>
      </c>
      <c r="L97" s="98">
        <v>0.4201</v>
      </c>
      <c r="M97" s="60"/>
      <c r="O97">
        <f t="shared" si="2"/>
        <v>29</v>
      </c>
    </row>
    <row r="98" spans="1:15">
      <c r="A98" s="60">
        <v>33685</v>
      </c>
      <c r="B98" s="60" t="s">
        <v>215</v>
      </c>
      <c r="C98" s="60">
        <v>4</v>
      </c>
      <c r="D98" s="60">
        <v>56.8</v>
      </c>
      <c r="E98" s="60">
        <v>2</v>
      </c>
      <c r="F98" s="60">
        <v>31.6</v>
      </c>
      <c r="G98" s="60">
        <v>0</v>
      </c>
      <c r="H98" s="60">
        <v>0</v>
      </c>
      <c r="I98" s="60">
        <v>6</v>
      </c>
      <c r="J98" s="60">
        <v>88.4</v>
      </c>
      <c r="K98" s="98">
        <v>0.6425</v>
      </c>
      <c r="L98" s="98">
        <v>0.3575</v>
      </c>
      <c r="M98" s="60"/>
      <c r="O98">
        <f t="shared" si="2"/>
        <v>6</v>
      </c>
    </row>
    <row r="99" spans="1:15">
      <c r="A99" s="60">
        <v>52944</v>
      </c>
      <c r="B99" s="60" t="s">
        <v>104</v>
      </c>
      <c r="C99" s="60">
        <v>48</v>
      </c>
      <c r="D99" s="60">
        <v>644.3</v>
      </c>
      <c r="E99" s="60">
        <v>32</v>
      </c>
      <c r="F99" s="60">
        <v>529.6</v>
      </c>
      <c r="G99" s="60">
        <v>2</v>
      </c>
      <c r="H99" s="60">
        <v>0</v>
      </c>
      <c r="I99" s="60">
        <v>82</v>
      </c>
      <c r="J99" s="60">
        <v>1173.9</v>
      </c>
      <c r="K99" s="98">
        <v>0.5489</v>
      </c>
      <c r="L99" s="98">
        <v>0.4511</v>
      </c>
      <c r="M99" s="60"/>
      <c r="O99">
        <f t="shared" ref="O99:O130" si="3">I99-G99-H99</f>
        <v>80</v>
      </c>
    </row>
    <row r="100" spans="1:15">
      <c r="A100" s="60">
        <v>52943</v>
      </c>
      <c r="B100" s="60" t="s">
        <v>103</v>
      </c>
      <c r="C100" s="60">
        <v>14</v>
      </c>
      <c r="D100" s="60">
        <v>201.5</v>
      </c>
      <c r="E100" s="60">
        <v>9</v>
      </c>
      <c r="F100" s="60">
        <v>153.2</v>
      </c>
      <c r="G100" s="60">
        <v>10</v>
      </c>
      <c r="H100" s="60">
        <v>0</v>
      </c>
      <c r="I100" s="60">
        <v>33</v>
      </c>
      <c r="J100" s="60">
        <v>354.7</v>
      </c>
      <c r="K100" s="98">
        <v>0.5681</v>
      </c>
      <c r="L100" s="98">
        <v>0.4319</v>
      </c>
      <c r="M100" s="60"/>
      <c r="O100">
        <f t="shared" si="3"/>
        <v>23</v>
      </c>
    </row>
    <row r="101" spans="1:15">
      <c r="A101" s="60">
        <v>52942</v>
      </c>
      <c r="B101" s="60" t="s">
        <v>101</v>
      </c>
      <c r="C101" s="60">
        <v>5</v>
      </c>
      <c r="D101" s="60">
        <v>82</v>
      </c>
      <c r="E101" s="60">
        <v>5</v>
      </c>
      <c r="F101" s="60">
        <v>90</v>
      </c>
      <c r="G101" s="60">
        <v>2</v>
      </c>
      <c r="H101" s="60">
        <v>0</v>
      </c>
      <c r="I101" s="60">
        <v>12</v>
      </c>
      <c r="J101" s="60">
        <v>172</v>
      </c>
      <c r="K101" s="98">
        <v>0.4767</v>
      </c>
      <c r="L101" s="98">
        <v>0.5233</v>
      </c>
      <c r="M101" s="60"/>
      <c r="O101">
        <f t="shared" si="3"/>
        <v>10</v>
      </c>
    </row>
    <row r="102" spans="1:15">
      <c r="A102" s="60">
        <v>52941</v>
      </c>
      <c r="B102" s="60" t="s">
        <v>102</v>
      </c>
      <c r="C102" s="60">
        <v>20</v>
      </c>
      <c r="D102" s="60">
        <v>285</v>
      </c>
      <c r="E102" s="60">
        <v>15</v>
      </c>
      <c r="F102" s="60">
        <v>260</v>
      </c>
      <c r="G102" s="60">
        <v>0</v>
      </c>
      <c r="H102" s="60">
        <v>0</v>
      </c>
      <c r="I102" s="60">
        <v>35</v>
      </c>
      <c r="J102" s="60">
        <v>545</v>
      </c>
      <c r="K102" s="98">
        <v>0.5229</v>
      </c>
      <c r="L102" s="98">
        <v>0.4771</v>
      </c>
      <c r="M102" s="60"/>
      <c r="O102">
        <f t="shared" si="3"/>
        <v>35</v>
      </c>
    </row>
    <row r="103" spans="1:15">
      <c r="A103" s="60">
        <v>52938</v>
      </c>
      <c r="B103" s="60" t="s">
        <v>90</v>
      </c>
      <c r="C103" s="60">
        <v>34</v>
      </c>
      <c r="D103" s="60">
        <v>507.9</v>
      </c>
      <c r="E103" s="60">
        <v>15</v>
      </c>
      <c r="F103" s="60">
        <v>258</v>
      </c>
      <c r="G103" s="60">
        <v>1</v>
      </c>
      <c r="H103" s="60">
        <v>0</v>
      </c>
      <c r="I103" s="60">
        <v>50</v>
      </c>
      <c r="J103" s="60">
        <v>765.9</v>
      </c>
      <c r="K103" s="98">
        <v>0.6631</v>
      </c>
      <c r="L103" s="98">
        <v>0.3369</v>
      </c>
      <c r="M103" s="60"/>
      <c r="O103">
        <f t="shared" si="3"/>
        <v>49</v>
      </c>
    </row>
    <row r="104" spans="1:15">
      <c r="A104" s="60">
        <v>52339</v>
      </c>
      <c r="B104" s="60" t="s">
        <v>89</v>
      </c>
      <c r="C104" s="60">
        <v>39</v>
      </c>
      <c r="D104" s="60">
        <v>606.3</v>
      </c>
      <c r="E104" s="60">
        <v>22</v>
      </c>
      <c r="F104" s="60">
        <v>356.6</v>
      </c>
      <c r="G104" s="60">
        <v>1</v>
      </c>
      <c r="H104" s="60">
        <v>0</v>
      </c>
      <c r="I104" s="60">
        <v>62</v>
      </c>
      <c r="J104" s="60">
        <v>962.9</v>
      </c>
      <c r="K104" s="98">
        <v>0.6297</v>
      </c>
      <c r="L104" s="98">
        <v>0.3703</v>
      </c>
      <c r="M104" s="60"/>
      <c r="O104">
        <f t="shared" si="3"/>
        <v>61</v>
      </c>
    </row>
    <row r="105" spans="1:15">
      <c r="A105" s="60">
        <v>51776</v>
      </c>
      <c r="B105" s="60" t="s">
        <v>24</v>
      </c>
      <c r="C105" s="60">
        <v>144</v>
      </c>
      <c r="D105" s="60">
        <v>1494.54</v>
      </c>
      <c r="E105" s="60">
        <v>199</v>
      </c>
      <c r="F105" s="60">
        <v>2235.6</v>
      </c>
      <c r="G105" s="60">
        <v>7</v>
      </c>
      <c r="H105" s="60">
        <v>0</v>
      </c>
      <c r="I105" s="60">
        <v>350</v>
      </c>
      <c r="J105" s="60">
        <v>3730.14</v>
      </c>
      <c r="K105" s="98">
        <v>0.4007</v>
      </c>
      <c r="L105" s="98">
        <v>0.5993</v>
      </c>
      <c r="M105" s="60"/>
      <c r="O105">
        <f t="shared" si="3"/>
        <v>343</v>
      </c>
    </row>
    <row r="106" spans="1:15">
      <c r="A106" s="60">
        <v>59480</v>
      </c>
      <c r="B106" s="60" t="s">
        <v>148</v>
      </c>
      <c r="C106" s="60">
        <v>7</v>
      </c>
      <c r="D106" s="60">
        <v>100.7</v>
      </c>
      <c r="E106" s="60">
        <v>10</v>
      </c>
      <c r="F106" s="60">
        <v>167</v>
      </c>
      <c r="G106" s="60">
        <v>0</v>
      </c>
      <c r="H106" s="60">
        <v>0</v>
      </c>
      <c r="I106" s="60">
        <v>17</v>
      </c>
      <c r="J106" s="60">
        <v>267.7</v>
      </c>
      <c r="K106" s="98">
        <v>0.3762</v>
      </c>
      <c r="L106" s="98">
        <v>0.6238</v>
      </c>
      <c r="M106" s="60"/>
      <c r="O106">
        <f t="shared" si="3"/>
        <v>17</v>
      </c>
    </row>
    <row r="107" spans="1:15">
      <c r="A107" s="60">
        <v>59479</v>
      </c>
      <c r="B107" s="60" t="s">
        <v>147</v>
      </c>
      <c r="C107" s="60">
        <v>12</v>
      </c>
      <c r="D107" s="60">
        <v>168.9</v>
      </c>
      <c r="E107" s="60">
        <v>7</v>
      </c>
      <c r="F107" s="60">
        <v>113.6</v>
      </c>
      <c r="G107" s="60">
        <v>2</v>
      </c>
      <c r="H107" s="60">
        <v>0</v>
      </c>
      <c r="I107" s="60">
        <v>21</v>
      </c>
      <c r="J107" s="60">
        <v>282.5</v>
      </c>
      <c r="K107" s="98">
        <v>0.5979</v>
      </c>
      <c r="L107" s="98">
        <v>0.4021</v>
      </c>
      <c r="M107" s="60"/>
      <c r="O107">
        <f t="shared" si="3"/>
        <v>19</v>
      </c>
    </row>
    <row r="108" spans="1:15">
      <c r="A108" s="60">
        <v>62546</v>
      </c>
      <c r="B108" s="60" t="s">
        <v>169</v>
      </c>
      <c r="C108" s="60">
        <v>5</v>
      </c>
      <c r="D108" s="60">
        <v>40</v>
      </c>
      <c r="E108" s="60">
        <v>5</v>
      </c>
      <c r="F108" s="60">
        <v>40</v>
      </c>
      <c r="G108" s="60">
        <v>0</v>
      </c>
      <c r="H108" s="60">
        <v>0</v>
      </c>
      <c r="I108" s="60">
        <v>10</v>
      </c>
      <c r="J108" s="60">
        <v>80</v>
      </c>
      <c r="K108" s="98">
        <v>0.5</v>
      </c>
      <c r="L108" s="98">
        <v>0.5</v>
      </c>
      <c r="M108" s="60"/>
      <c r="O108">
        <f t="shared" si="3"/>
        <v>10</v>
      </c>
    </row>
    <row r="109" spans="1:15">
      <c r="A109" s="60">
        <v>66130</v>
      </c>
      <c r="B109" s="60" t="s">
        <v>171</v>
      </c>
      <c r="C109" s="60">
        <v>6</v>
      </c>
      <c r="D109" s="60">
        <v>57</v>
      </c>
      <c r="E109" s="60">
        <v>10</v>
      </c>
      <c r="F109" s="60">
        <v>115.2</v>
      </c>
      <c r="G109" s="60">
        <v>0</v>
      </c>
      <c r="H109" s="60">
        <v>0</v>
      </c>
      <c r="I109" s="60">
        <v>16</v>
      </c>
      <c r="J109" s="60">
        <v>172.2</v>
      </c>
      <c r="K109" s="98">
        <v>0.331</v>
      </c>
      <c r="L109" s="98">
        <v>0.669</v>
      </c>
      <c r="M109" s="60"/>
      <c r="O109">
        <f t="shared" si="3"/>
        <v>16</v>
      </c>
    </row>
    <row r="110" spans="1:15">
      <c r="A110" s="60">
        <v>66334</v>
      </c>
      <c r="B110" s="60" t="s">
        <v>288</v>
      </c>
      <c r="C110" s="60">
        <v>10</v>
      </c>
      <c r="D110" s="60">
        <v>132.2</v>
      </c>
      <c r="E110" s="60">
        <v>7</v>
      </c>
      <c r="F110" s="60">
        <v>101.6</v>
      </c>
      <c r="G110" s="60">
        <v>0</v>
      </c>
      <c r="H110" s="60">
        <v>0</v>
      </c>
      <c r="I110" s="60">
        <v>17</v>
      </c>
      <c r="J110" s="60">
        <v>233.8</v>
      </c>
      <c r="K110" s="98">
        <v>0.5654</v>
      </c>
      <c r="L110" s="98">
        <v>0.4346</v>
      </c>
      <c r="M110" s="60"/>
      <c r="O110">
        <f t="shared" si="3"/>
        <v>17</v>
      </c>
    </row>
    <row r="111" spans="1:15">
      <c r="A111" s="60">
        <v>66332</v>
      </c>
      <c r="B111" s="60" t="s">
        <v>289</v>
      </c>
      <c r="C111" s="60">
        <v>27</v>
      </c>
      <c r="D111" s="60">
        <v>355.3</v>
      </c>
      <c r="E111" s="60">
        <v>8</v>
      </c>
      <c r="F111" s="60">
        <v>114.4</v>
      </c>
      <c r="G111" s="60">
        <v>0</v>
      </c>
      <c r="H111" s="60">
        <v>0</v>
      </c>
      <c r="I111" s="60">
        <v>35</v>
      </c>
      <c r="J111" s="60">
        <v>469.7</v>
      </c>
      <c r="K111" s="98">
        <v>0.7564</v>
      </c>
      <c r="L111" s="98">
        <v>0.2436</v>
      </c>
      <c r="M111" s="60"/>
      <c r="O111">
        <f t="shared" si="3"/>
        <v>35</v>
      </c>
    </row>
    <row r="112" spans="1:15">
      <c r="A112" s="60">
        <v>66333</v>
      </c>
      <c r="B112" s="60" t="s">
        <v>142</v>
      </c>
      <c r="C112" s="60">
        <v>28</v>
      </c>
      <c r="D112" s="60">
        <v>370.1</v>
      </c>
      <c r="E112" s="60">
        <v>9</v>
      </c>
      <c r="F112" s="60">
        <v>130.2</v>
      </c>
      <c r="G112" s="60">
        <v>0</v>
      </c>
      <c r="H112" s="60">
        <v>0</v>
      </c>
      <c r="I112" s="60">
        <v>37</v>
      </c>
      <c r="J112" s="60">
        <v>500.3</v>
      </c>
      <c r="K112" s="98">
        <v>0.7398</v>
      </c>
      <c r="L112" s="98">
        <v>0.2602</v>
      </c>
      <c r="M112" s="60"/>
      <c r="O112">
        <f t="shared" si="3"/>
        <v>37</v>
      </c>
    </row>
    <row r="113" spans="1:15">
      <c r="A113" s="60">
        <v>67236</v>
      </c>
      <c r="B113" s="60" t="s">
        <v>141</v>
      </c>
      <c r="C113" s="60">
        <v>5</v>
      </c>
      <c r="D113" s="60">
        <v>58.2</v>
      </c>
      <c r="E113" s="60">
        <v>2</v>
      </c>
      <c r="F113" s="60">
        <v>29.6</v>
      </c>
      <c r="G113" s="60">
        <v>1</v>
      </c>
      <c r="H113" s="60">
        <v>0</v>
      </c>
      <c r="I113" s="60">
        <v>8</v>
      </c>
      <c r="J113" s="60">
        <v>87.8</v>
      </c>
      <c r="K113" s="98">
        <v>0.6629</v>
      </c>
      <c r="L113" s="98">
        <v>0.3371</v>
      </c>
      <c r="M113" s="60"/>
      <c r="O113">
        <f t="shared" si="3"/>
        <v>7</v>
      </c>
    </row>
    <row r="114" spans="1:15">
      <c r="A114" s="60">
        <v>71811</v>
      </c>
      <c r="B114" s="60" t="s">
        <v>126</v>
      </c>
      <c r="C114" s="60">
        <v>37</v>
      </c>
      <c r="D114" s="60">
        <v>592.9</v>
      </c>
      <c r="E114" s="60">
        <v>27</v>
      </c>
      <c r="F114" s="60">
        <v>444.6</v>
      </c>
      <c r="G114" s="60">
        <v>0</v>
      </c>
      <c r="H114" s="60">
        <v>0</v>
      </c>
      <c r="I114" s="60">
        <v>64</v>
      </c>
      <c r="J114" s="60">
        <v>1037.5</v>
      </c>
      <c r="K114" s="98">
        <v>0.5715</v>
      </c>
      <c r="L114" s="98">
        <v>0.4285</v>
      </c>
      <c r="M114" s="60"/>
      <c r="O114">
        <f t="shared" si="3"/>
        <v>64</v>
      </c>
    </row>
    <row r="115" spans="1:15">
      <c r="A115" s="60">
        <v>67235</v>
      </c>
      <c r="B115" s="60" t="s">
        <v>172</v>
      </c>
      <c r="C115" s="60">
        <v>21</v>
      </c>
      <c r="D115" s="60">
        <v>242.64</v>
      </c>
      <c r="E115" s="60">
        <v>24</v>
      </c>
      <c r="F115" s="60">
        <v>295</v>
      </c>
      <c r="G115" s="60">
        <v>0</v>
      </c>
      <c r="H115" s="60">
        <v>0</v>
      </c>
      <c r="I115" s="60">
        <v>45</v>
      </c>
      <c r="J115" s="60">
        <v>537.64</v>
      </c>
      <c r="K115" s="98">
        <v>0.4513</v>
      </c>
      <c r="L115" s="98">
        <v>0.5487</v>
      </c>
      <c r="M115" s="60"/>
      <c r="O115">
        <f t="shared" si="3"/>
        <v>45</v>
      </c>
    </row>
    <row r="116" spans="1:15">
      <c r="A116" s="60">
        <v>68720</v>
      </c>
      <c r="B116" s="60" t="s">
        <v>290</v>
      </c>
      <c r="C116" s="60">
        <v>19</v>
      </c>
      <c r="D116" s="60">
        <v>227.4</v>
      </c>
      <c r="E116" s="60">
        <v>11</v>
      </c>
      <c r="F116" s="60">
        <v>135.8</v>
      </c>
      <c r="G116" s="60">
        <v>1</v>
      </c>
      <c r="H116" s="60">
        <v>0</v>
      </c>
      <c r="I116" s="60">
        <v>31</v>
      </c>
      <c r="J116" s="60">
        <v>363.2</v>
      </c>
      <c r="K116" s="98">
        <v>0.6261</v>
      </c>
      <c r="L116" s="98">
        <v>0.3739</v>
      </c>
      <c r="M116" s="60"/>
      <c r="O116">
        <f t="shared" si="3"/>
        <v>30</v>
      </c>
    </row>
    <row r="117" spans="1:15">
      <c r="A117" s="60">
        <v>68721</v>
      </c>
      <c r="B117" s="60" t="s">
        <v>291</v>
      </c>
      <c r="C117" s="60">
        <v>23</v>
      </c>
      <c r="D117" s="60">
        <v>244.8</v>
      </c>
      <c r="E117" s="60">
        <v>10</v>
      </c>
      <c r="F117" s="60">
        <v>113.2</v>
      </c>
      <c r="G117" s="60">
        <v>2</v>
      </c>
      <c r="H117" s="60">
        <v>0</v>
      </c>
      <c r="I117" s="60">
        <v>35</v>
      </c>
      <c r="J117" s="60">
        <v>358</v>
      </c>
      <c r="K117" s="98">
        <v>0.6838</v>
      </c>
      <c r="L117" s="98">
        <v>0.3162</v>
      </c>
      <c r="M117" s="60"/>
      <c r="O117">
        <f t="shared" si="3"/>
        <v>33</v>
      </c>
    </row>
    <row r="118" spans="1:15">
      <c r="A118" s="60">
        <v>68716</v>
      </c>
      <c r="B118" s="60" t="s">
        <v>292</v>
      </c>
      <c r="C118" s="60">
        <v>33</v>
      </c>
      <c r="D118" s="60">
        <v>495.5</v>
      </c>
      <c r="E118" s="60">
        <v>17</v>
      </c>
      <c r="F118" s="60">
        <v>271.6</v>
      </c>
      <c r="G118" s="60">
        <v>2</v>
      </c>
      <c r="H118" s="60">
        <v>0</v>
      </c>
      <c r="I118" s="60">
        <v>52</v>
      </c>
      <c r="J118" s="60">
        <v>767.1</v>
      </c>
      <c r="K118" s="98">
        <v>0.6459</v>
      </c>
      <c r="L118" s="98">
        <v>0.3541</v>
      </c>
      <c r="M118" s="60"/>
      <c r="O118">
        <f t="shared" si="3"/>
        <v>50</v>
      </c>
    </row>
    <row r="119" spans="1:15">
      <c r="A119" s="60">
        <v>68723</v>
      </c>
      <c r="B119" s="60" t="s">
        <v>165</v>
      </c>
      <c r="C119" s="60">
        <v>86</v>
      </c>
      <c r="D119" s="60">
        <v>1225.1</v>
      </c>
      <c r="E119" s="60">
        <v>31</v>
      </c>
      <c r="F119" s="60">
        <v>512.8</v>
      </c>
      <c r="G119" s="60">
        <v>1</v>
      </c>
      <c r="H119" s="60">
        <v>0</v>
      </c>
      <c r="I119" s="60">
        <v>118</v>
      </c>
      <c r="J119" s="60">
        <v>1737.9</v>
      </c>
      <c r="K119" s="98">
        <v>0.7049</v>
      </c>
      <c r="L119" s="98">
        <v>0.2951</v>
      </c>
      <c r="M119" s="60"/>
      <c r="O119">
        <f t="shared" si="3"/>
        <v>117</v>
      </c>
    </row>
    <row r="120" spans="1:15">
      <c r="A120" s="60">
        <v>68722</v>
      </c>
      <c r="B120" s="60" t="s">
        <v>164</v>
      </c>
      <c r="C120" s="60">
        <v>18</v>
      </c>
      <c r="D120" s="60">
        <v>283.6</v>
      </c>
      <c r="E120" s="60">
        <v>6</v>
      </c>
      <c r="F120" s="60">
        <v>94.8</v>
      </c>
      <c r="G120" s="60">
        <v>0</v>
      </c>
      <c r="H120" s="60">
        <v>0</v>
      </c>
      <c r="I120" s="60">
        <v>24</v>
      </c>
      <c r="J120" s="60">
        <v>378.4</v>
      </c>
      <c r="K120" s="98">
        <v>0.7495</v>
      </c>
      <c r="L120" s="98">
        <v>0.2505</v>
      </c>
      <c r="M120" s="60"/>
      <c r="O120">
        <f t="shared" si="3"/>
        <v>24</v>
      </c>
    </row>
    <row r="121" spans="1:15">
      <c r="A121" s="60">
        <v>68719</v>
      </c>
      <c r="B121" s="60" t="s">
        <v>293</v>
      </c>
      <c r="C121" s="60">
        <v>3</v>
      </c>
      <c r="D121" s="60">
        <v>9</v>
      </c>
      <c r="E121" s="60">
        <v>52</v>
      </c>
      <c r="F121" s="60">
        <v>156</v>
      </c>
      <c r="G121" s="60">
        <v>3</v>
      </c>
      <c r="H121" s="60">
        <v>0</v>
      </c>
      <c r="I121" s="60">
        <v>58</v>
      </c>
      <c r="J121" s="60">
        <v>165</v>
      </c>
      <c r="K121" s="98">
        <v>0.0545</v>
      </c>
      <c r="L121" s="98">
        <v>0.9455</v>
      </c>
      <c r="M121" s="60"/>
      <c r="O121">
        <f t="shared" si="3"/>
        <v>55</v>
      </c>
    </row>
    <row r="122" spans="1:15">
      <c r="A122" s="60">
        <v>68718</v>
      </c>
      <c r="B122" s="60" t="s">
        <v>294</v>
      </c>
      <c r="C122" s="60">
        <v>19</v>
      </c>
      <c r="D122" s="60">
        <v>212</v>
      </c>
      <c r="E122" s="60">
        <v>3</v>
      </c>
      <c r="F122" s="60">
        <v>32.6</v>
      </c>
      <c r="G122" s="60">
        <v>0</v>
      </c>
      <c r="H122" s="60">
        <v>0</v>
      </c>
      <c r="I122" s="60">
        <v>22</v>
      </c>
      <c r="J122" s="60">
        <v>244.6</v>
      </c>
      <c r="K122" s="98">
        <v>0.8667</v>
      </c>
      <c r="L122" s="98">
        <v>0.1333</v>
      </c>
      <c r="M122" s="60"/>
      <c r="O122">
        <f t="shared" si="3"/>
        <v>22</v>
      </c>
    </row>
    <row r="123" spans="1:15">
      <c r="A123" s="60">
        <v>68714</v>
      </c>
      <c r="B123" s="60" t="s">
        <v>295</v>
      </c>
      <c r="C123" s="60">
        <v>67</v>
      </c>
      <c r="D123" s="60">
        <v>989.7</v>
      </c>
      <c r="E123" s="60">
        <v>34</v>
      </c>
      <c r="F123" s="60">
        <v>558.2</v>
      </c>
      <c r="G123" s="60">
        <v>6</v>
      </c>
      <c r="H123" s="60">
        <v>0</v>
      </c>
      <c r="I123" s="60">
        <v>107</v>
      </c>
      <c r="J123" s="60">
        <v>1547.9</v>
      </c>
      <c r="K123" s="98">
        <v>0.6394</v>
      </c>
      <c r="L123" s="98">
        <v>0.3606</v>
      </c>
      <c r="M123" s="60"/>
      <c r="O123">
        <f t="shared" si="3"/>
        <v>101</v>
      </c>
    </row>
    <row r="124" spans="1:15">
      <c r="A124" s="60">
        <v>59045</v>
      </c>
      <c r="B124" s="60" t="s">
        <v>296</v>
      </c>
      <c r="C124" s="60">
        <v>0</v>
      </c>
      <c r="D124" s="60">
        <v>0</v>
      </c>
      <c r="E124" s="60">
        <v>0</v>
      </c>
      <c r="F124" s="60">
        <v>0</v>
      </c>
      <c r="G124" s="60">
        <v>12</v>
      </c>
      <c r="H124" s="60">
        <v>0</v>
      </c>
      <c r="I124" s="60">
        <v>12</v>
      </c>
      <c r="J124" s="60">
        <v>0</v>
      </c>
      <c r="K124" s="98">
        <v>0</v>
      </c>
      <c r="L124" s="98">
        <v>0</v>
      </c>
      <c r="M124" s="60"/>
      <c r="O124">
        <f t="shared" si="3"/>
        <v>0</v>
      </c>
    </row>
    <row r="125" spans="1:15">
      <c r="A125" s="60">
        <v>36035</v>
      </c>
      <c r="B125" s="60" t="s">
        <v>297</v>
      </c>
      <c r="C125" s="60">
        <v>0</v>
      </c>
      <c r="D125" s="60">
        <v>0</v>
      </c>
      <c r="E125" s="60">
        <v>9</v>
      </c>
      <c r="F125" s="60">
        <v>96.4</v>
      </c>
      <c r="G125" s="60">
        <v>3</v>
      </c>
      <c r="H125" s="60">
        <v>0</v>
      </c>
      <c r="I125" s="60">
        <v>12</v>
      </c>
      <c r="J125" s="60">
        <v>96.4</v>
      </c>
      <c r="K125" s="98">
        <v>0</v>
      </c>
      <c r="L125" s="98">
        <v>1</v>
      </c>
      <c r="M125" s="60"/>
      <c r="O125">
        <f t="shared" si="3"/>
        <v>9</v>
      </c>
    </row>
    <row r="126" spans="1:15">
      <c r="A126" s="60">
        <v>36393</v>
      </c>
      <c r="B126" s="60" t="s">
        <v>298</v>
      </c>
      <c r="C126" s="60">
        <v>0</v>
      </c>
      <c r="D126" s="60">
        <v>0</v>
      </c>
      <c r="E126" s="60">
        <v>8</v>
      </c>
      <c r="F126" s="60">
        <v>40.5</v>
      </c>
      <c r="G126" s="60">
        <v>0</v>
      </c>
      <c r="H126" s="60">
        <v>0</v>
      </c>
      <c r="I126" s="60">
        <v>8</v>
      </c>
      <c r="J126" s="60">
        <v>40.5</v>
      </c>
      <c r="K126" s="98">
        <v>0</v>
      </c>
      <c r="L126" s="98">
        <v>1</v>
      </c>
      <c r="M126" s="60"/>
      <c r="O126">
        <f t="shared" si="3"/>
        <v>8</v>
      </c>
    </row>
    <row r="127" spans="1:15">
      <c r="A127" s="60">
        <v>36530</v>
      </c>
      <c r="B127" s="60" t="s">
        <v>299</v>
      </c>
      <c r="C127" s="60">
        <v>0</v>
      </c>
      <c r="D127" s="60">
        <v>0</v>
      </c>
      <c r="E127" s="60">
        <v>193</v>
      </c>
      <c r="F127" s="60">
        <v>572.5</v>
      </c>
      <c r="G127" s="60">
        <v>0</v>
      </c>
      <c r="H127" s="60">
        <v>0</v>
      </c>
      <c r="I127" s="60">
        <v>193</v>
      </c>
      <c r="J127" s="60">
        <v>572.5</v>
      </c>
      <c r="K127" s="98">
        <v>0</v>
      </c>
      <c r="L127" s="98">
        <v>1</v>
      </c>
      <c r="M127" s="60"/>
      <c r="O127">
        <f t="shared" si="3"/>
        <v>193</v>
      </c>
    </row>
    <row r="128" spans="1:15">
      <c r="A128" s="60">
        <v>68852</v>
      </c>
      <c r="B128" s="60" t="s">
        <v>163</v>
      </c>
      <c r="C128" s="60">
        <v>32</v>
      </c>
      <c r="D128" s="60">
        <v>384.2</v>
      </c>
      <c r="E128" s="60">
        <v>29</v>
      </c>
      <c r="F128" s="60">
        <v>338</v>
      </c>
      <c r="G128" s="60">
        <v>4</v>
      </c>
      <c r="H128" s="60">
        <v>0</v>
      </c>
      <c r="I128" s="60">
        <v>65</v>
      </c>
      <c r="J128" s="60">
        <v>722.2</v>
      </c>
      <c r="K128" s="98">
        <v>0.532</v>
      </c>
      <c r="L128" s="98">
        <v>0.468</v>
      </c>
      <c r="M128" s="60"/>
      <c r="O128">
        <f t="shared" si="3"/>
        <v>61</v>
      </c>
    </row>
    <row r="129" spans="1:15">
      <c r="A129" s="60">
        <v>57302</v>
      </c>
      <c r="B129" s="60" t="s">
        <v>300</v>
      </c>
      <c r="C129" s="60">
        <v>32</v>
      </c>
      <c r="D129" s="60">
        <v>505</v>
      </c>
      <c r="E129" s="60">
        <v>20</v>
      </c>
      <c r="F129" s="60">
        <v>348</v>
      </c>
      <c r="G129" s="60">
        <v>4</v>
      </c>
      <c r="H129" s="60">
        <v>0</v>
      </c>
      <c r="I129" s="60">
        <v>56</v>
      </c>
      <c r="J129" s="60">
        <v>853</v>
      </c>
      <c r="K129" s="98">
        <v>0.592</v>
      </c>
      <c r="L129" s="98">
        <v>0.408</v>
      </c>
      <c r="M129" s="60"/>
      <c r="O129">
        <f t="shared" si="3"/>
        <v>52</v>
      </c>
    </row>
    <row r="130" spans="1:15">
      <c r="A130" s="60">
        <v>100103</v>
      </c>
      <c r="B130" s="60" t="s">
        <v>301</v>
      </c>
      <c r="C130" s="60">
        <v>0</v>
      </c>
      <c r="D130" s="60">
        <v>0</v>
      </c>
      <c r="E130" s="60">
        <v>13</v>
      </c>
      <c r="F130" s="60">
        <v>62</v>
      </c>
      <c r="G130" s="60">
        <v>3</v>
      </c>
      <c r="H130" s="60">
        <v>0</v>
      </c>
      <c r="I130" s="60">
        <v>16</v>
      </c>
      <c r="J130" s="60">
        <v>62</v>
      </c>
      <c r="K130" s="98">
        <v>0</v>
      </c>
      <c r="L130" s="98">
        <v>1</v>
      </c>
      <c r="M130" s="60"/>
      <c r="O130">
        <f t="shared" si="3"/>
        <v>13</v>
      </c>
    </row>
    <row r="131" spans="1:15">
      <c r="A131" s="60">
        <v>79339</v>
      </c>
      <c r="B131" s="60" t="s">
        <v>302</v>
      </c>
      <c r="C131" s="60">
        <v>11</v>
      </c>
      <c r="D131" s="60">
        <v>90.8</v>
      </c>
      <c r="E131" s="60">
        <v>3</v>
      </c>
      <c r="F131" s="60">
        <v>32.4</v>
      </c>
      <c r="G131" s="60">
        <v>2</v>
      </c>
      <c r="H131" s="60">
        <v>0</v>
      </c>
      <c r="I131" s="60">
        <v>16</v>
      </c>
      <c r="J131" s="60">
        <v>123.2</v>
      </c>
      <c r="K131" s="98">
        <v>0.737</v>
      </c>
      <c r="L131" s="98">
        <v>0.263</v>
      </c>
      <c r="M131" s="60"/>
      <c r="O131">
        <f t="shared" ref="O131:O162" si="4">I131-G131-H131</f>
        <v>14</v>
      </c>
    </row>
    <row r="132" spans="1:15">
      <c r="A132" s="60">
        <v>53254</v>
      </c>
      <c r="B132" s="60" t="s">
        <v>303</v>
      </c>
      <c r="C132" s="60">
        <v>46</v>
      </c>
      <c r="D132" s="60">
        <v>714.3</v>
      </c>
      <c r="E132" s="60">
        <v>42</v>
      </c>
      <c r="F132" s="60">
        <v>713.6</v>
      </c>
      <c r="G132" s="60">
        <v>8</v>
      </c>
      <c r="H132" s="60">
        <v>0</v>
      </c>
      <c r="I132" s="60">
        <v>96</v>
      </c>
      <c r="J132" s="60">
        <v>1427.9</v>
      </c>
      <c r="K132" s="98">
        <v>0.5002</v>
      </c>
      <c r="L132" s="98">
        <v>0.4998</v>
      </c>
      <c r="M132" s="60"/>
      <c r="O132">
        <f t="shared" si="4"/>
        <v>88</v>
      </c>
    </row>
    <row r="133" spans="1:15">
      <c r="A133" s="60">
        <v>53058</v>
      </c>
      <c r="B133" s="60" t="s">
        <v>304</v>
      </c>
      <c r="C133" s="60">
        <v>61</v>
      </c>
      <c r="D133" s="60">
        <v>883.8</v>
      </c>
      <c r="E133" s="60">
        <v>44</v>
      </c>
      <c r="F133" s="60">
        <v>732.2</v>
      </c>
      <c r="G133" s="60">
        <v>3</v>
      </c>
      <c r="H133" s="60">
        <v>0</v>
      </c>
      <c r="I133" s="60">
        <v>108</v>
      </c>
      <c r="J133" s="60">
        <v>1616</v>
      </c>
      <c r="K133" s="98">
        <v>0.5469</v>
      </c>
      <c r="L133" s="98">
        <v>0.4531</v>
      </c>
      <c r="M133" s="60"/>
      <c r="O133">
        <f t="shared" si="4"/>
        <v>105</v>
      </c>
    </row>
    <row r="134" spans="1:15">
      <c r="A134" s="60">
        <v>79338</v>
      </c>
      <c r="B134" s="60" t="s">
        <v>194</v>
      </c>
      <c r="C134" s="60">
        <v>9</v>
      </c>
      <c r="D134" s="60">
        <v>82</v>
      </c>
      <c r="E134" s="60">
        <v>12</v>
      </c>
      <c r="F134" s="60">
        <v>116.2</v>
      </c>
      <c r="G134" s="60">
        <v>4</v>
      </c>
      <c r="H134" s="60">
        <v>0</v>
      </c>
      <c r="I134" s="60">
        <v>25</v>
      </c>
      <c r="J134" s="60">
        <v>198.2</v>
      </c>
      <c r="K134" s="98">
        <v>0.4137</v>
      </c>
      <c r="L134" s="98">
        <v>0.5863</v>
      </c>
      <c r="M134" s="60"/>
      <c r="O134">
        <f t="shared" si="4"/>
        <v>21</v>
      </c>
    </row>
    <row r="135" spans="1:15">
      <c r="A135" s="60">
        <v>33689</v>
      </c>
      <c r="B135" s="60" t="s">
        <v>197</v>
      </c>
      <c r="C135" s="60">
        <v>18</v>
      </c>
      <c r="D135" s="60">
        <v>269.1</v>
      </c>
      <c r="E135" s="60">
        <v>19</v>
      </c>
      <c r="F135" s="60">
        <v>300.2</v>
      </c>
      <c r="G135" s="60">
        <v>2</v>
      </c>
      <c r="H135" s="60">
        <v>0</v>
      </c>
      <c r="I135" s="60">
        <v>39</v>
      </c>
      <c r="J135" s="60">
        <v>569.3</v>
      </c>
      <c r="K135" s="98">
        <v>0.4727</v>
      </c>
      <c r="L135" s="98">
        <v>0.5273</v>
      </c>
      <c r="M135" s="60"/>
      <c r="O135">
        <f t="shared" si="4"/>
        <v>37</v>
      </c>
    </row>
    <row r="136" spans="1:15">
      <c r="A136" s="60">
        <v>33691</v>
      </c>
      <c r="B136" s="60" t="s">
        <v>198</v>
      </c>
      <c r="C136" s="60">
        <v>17</v>
      </c>
      <c r="D136" s="60">
        <v>228.1</v>
      </c>
      <c r="E136" s="60">
        <v>6</v>
      </c>
      <c r="F136" s="60">
        <v>97.8</v>
      </c>
      <c r="G136" s="60">
        <v>1</v>
      </c>
      <c r="H136" s="60">
        <v>0</v>
      </c>
      <c r="I136" s="60">
        <v>24</v>
      </c>
      <c r="J136" s="60">
        <v>325.9</v>
      </c>
      <c r="K136" s="98">
        <v>0.6999</v>
      </c>
      <c r="L136" s="98">
        <v>0.3001</v>
      </c>
      <c r="M136" s="60"/>
      <c r="O136">
        <f t="shared" si="4"/>
        <v>23</v>
      </c>
    </row>
    <row r="137" spans="1:15">
      <c r="A137" s="60">
        <v>33523</v>
      </c>
      <c r="B137" s="60" t="s">
        <v>161</v>
      </c>
      <c r="C137" s="60">
        <v>1</v>
      </c>
      <c r="D137" s="60">
        <v>10.8</v>
      </c>
      <c r="E137" s="60">
        <v>3</v>
      </c>
      <c r="F137" s="60">
        <v>31.4</v>
      </c>
      <c r="G137" s="60">
        <v>2</v>
      </c>
      <c r="H137" s="60">
        <v>0</v>
      </c>
      <c r="I137" s="60">
        <v>6</v>
      </c>
      <c r="J137" s="60">
        <v>42.2</v>
      </c>
      <c r="K137" s="98">
        <v>0.2559</v>
      </c>
      <c r="L137" s="98">
        <v>0.7441</v>
      </c>
      <c r="M137" s="60"/>
      <c r="O137">
        <f t="shared" si="4"/>
        <v>4</v>
      </c>
    </row>
    <row r="138" spans="1:15">
      <c r="A138" s="60">
        <v>33522</v>
      </c>
      <c r="B138" s="60" t="s">
        <v>199</v>
      </c>
      <c r="C138" s="60">
        <v>7</v>
      </c>
      <c r="D138" s="60">
        <v>77.6</v>
      </c>
      <c r="E138" s="60">
        <v>9</v>
      </c>
      <c r="F138" s="60">
        <v>93.2</v>
      </c>
      <c r="G138" s="60">
        <v>2</v>
      </c>
      <c r="H138" s="60">
        <v>0</v>
      </c>
      <c r="I138" s="60">
        <v>18</v>
      </c>
      <c r="J138" s="60">
        <v>170.8</v>
      </c>
      <c r="K138" s="98">
        <v>0.4543</v>
      </c>
      <c r="L138" s="98">
        <v>0.5457</v>
      </c>
      <c r="M138" s="60"/>
      <c r="O138">
        <f t="shared" si="4"/>
        <v>16</v>
      </c>
    </row>
    <row r="139" spans="1:15">
      <c r="A139" s="60">
        <v>20904</v>
      </c>
      <c r="B139" s="60" t="s">
        <v>306</v>
      </c>
      <c r="C139" s="60">
        <v>5</v>
      </c>
      <c r="D139" s="60">
        <v>22.1</v>
      </c>
      <c r="E139" s="60">
        <v>15</v>
      </c>
      <c r="F139" s="60">
        <v>68.4</v>
      </c>
      <c r="G139" s="60">
        <v>1</v>
      </c>
      <c r="H139" s="60">
        <v>0</v>
      </c>
      <c r="I139" s="60">
        <v>21</v>
      </c>
      <c r="J139" s="60">
        <v>90.5</v>
      </c>
      <c r="K139" s="98">
        <v>0.2442</v>
      </c>
      <c r="L139" s="98">
        <v>0.7558</v>
      </c>
      <c r="M139" s="60"/>
      <c r="O139">
        <f t="shared" si="4"/>
        <v>20</v>
      </c>
    </row>
    <row r="140" spans="1:15">
      <c r="A140" s="60">
        <v>26396</v>
      </c>
      <c r="B140" s="60" t="s">
        <v>307</v>
      </c>
      <c r="C140" s="60">
        <v>1</v>
      </c>
      <c r="D140" s="60">
        <v>4</v>
      </c>
      <c r="E140" s="60">
        <v>3</v>
      </c>
      <c r="F140" s="60">
        <v>13.6</v>
      </c>
      <c r="G140" s="60">
        <v>1</v>
      </c>
      <c r="H140" s="60">
        <v>0</v>
      </c>
      <c r="I140" s="60">
        <v>5</v>
      </c>
      <c r="J140" s="60">
        <v>17.6</v>
      </c>
      <c r="K140" s="98">
        <v>0.2273</v>
      </c>
      <c r="L140" s="98">
        <v>0.7727</v>
      </c>
      <c r="M140" s="60"/>
      <c r="O140">
        <f t="shared" si="4"/>
        <v>4</v>
      </c>
    </row>
    <row r="141" spans="1:15">
      <c r="A141" s="60">
        <v>53117</v>
      </c>
      <c r="B141" s="60" t="s">
        <v>210</v>
      </c>
      <c r="C141" s="60">
        <v>0</v>
      </c>
      <c r="D141" s="60">
        <v>0</v>
      </c>
      <c r="E141" s="60">
        <v>1</v>
      </c>
      <c r="F141" s="60">
        <v>6</v>
      </c>
      <c r="G141" s="60">
        <v>3</v>
      </c>
      <c r="H141" s="60">
        <v>0</v>
      </c>
      <c r="I141" s="60">
        <v>4</v>
      </c>
      <c r="J141" s="60">
        <v>6</v>
      </c>
      <c r="K141" s="98">
        <v>0</v>
      </c>
      <c r="L141" s="98">
        <v>1</v>
      </c>
      <c r="M141" s="60"/>
      <c r="O141">
        <f t="shared" si="4"/>
        <v>1</v>
      </c>
    </row>
    <row r="142" spans="1:15">
      <c r="A142" s="60">
        <v>33520</v>
      </c>
      <c r="B142" s="60" t="s">
        <v>211</v>
      </c>
      <c r="C142" s="60">
        <v>7</v>
      </c>
      <c r="D142" s="60">
        <v>34.2</v>
      </c>
      <c r="E142" s="60">
        <v>1</v>
      </c>
      <c r="F142" s="60">
        <v>4.9</v>
      </c>
      <c r="G142" s="60">
        <v>3</v>
      </c>
      <c r="H142" s="60">
        <v>0</v>
      </c>
      <c r="I142" s="60">
        <v>11</v>
      </c>
      <c r="J142" s="60">
        <v>39.1</v>
      </c>
      <c r="K142" s="98">
        <v>0.8747</v>
      </c>
      <c r="L142" s="98">
        <v>0.1253</v>
      </c>
      <c r="M142" s="60"/>
      <c r="O142">
        <f t="shared" si="4"/>
        <v>8</v>
      </c>
    </row>
    <row r="143" spans="1:15">
      <c r="A143" s="60">
        <v>75412</v>
      </c>
      <c r="B143" s="60" t="s">
        <v>201</v>
      </c>
      <c r="C143" s="60">
        <v>29</v>
      </c>
      <c r="D143" s="60">
        <v>372.3</v>
      </c>
      <c r="E143" s="60">
        <v>7</v>
      </c>
      <c r="F143" s="60">
        <v>118.6</v>
      </c>
      <c r="G143" s="60">
        <v>0</v>
      </c>
      <c r="H143" s="60">
        <v>0</v>
      </c>
      <c r="I143" s="60">
        <v>36</v>
      </c>
      <c r="J143" s="60">
        <v>490.9</v>
      </c>
      <c r="K143" s="98">
        <v>0.7584</v>
      </c>
      <c r="L143" s="98">
        <v>0.2416</v>
      </c>
      <c r="M143" s="60"/>
      <c r="O143">
        <f t="shared" si="4"/>
        <v>36</v>
      </c>
    </row>
    <row r="144" spans="1:15">
      <c r="A144" s="60">
        <v>85127</v>
      </c>
      <c r="B144" s="60" t="s">
        <v>202</v>
      </c>
      <c r="C144" s="60">
        <v>38</v>
      </c>
      <c r="D144" s="60">
        <v>364.5</v>
      </c>
      <c r="E144" s="60">
        <v>27</v>
      </c>
      <c r="F144" s="60">
        <v>434.6</v>
      </c>
      <c r="G144" s="60">
        <v>0</v>
      </c>
      <c r="H144" s="60">
        <v>0</v>
      </c>
      <c r="I144" s="60">
        <v>65</v>
      </c>
      <c r="J144" s="60">
        <v>799.1</v>
      </c>
      <c r="K144" s="98">
        <v>0.4561</v>
      </c>
      <c r="L144" s="98">
        <v>0.5439</v>
      </c>
      <c r="M144" s="60"/>
      <c r="O144">
        <f t="shared" si="4"/>
        <v>65</v>
      </c>
    </row>
    <row r="145" spans="1:15">
      <c r="A145" s="60">
        <v>163631</v>
      </c>
      <c r="B145" s="60" t="s">
        <v>308</v>
      </c>
      <c r="C145" s="60">
        <v>0</v>
      </c>
      <c r="D145" s="60">
        <v>0</v>
      </c>
      <c r="E145" s="60">
        <v>18</v>
      </c>
      <c r="F145" s="60">
        <v>99.5</v>
      </c>
      <c r="G145" s="60">
        <v>3</v>
      </c>
      <c r="H145" s="60">
        <v>0</v>
      </c>
      <c r="I145" s="60">
        <v>21</v>
      </c>
      <c r="J145" s="60">
        <v>99.5</v>
      </c>
      <c r="K145" s="98">
        <v>0</v>
      </c>
      <c r="L145" s="98">
        <v>1</v>
      </c>
      <c r="M145" s="60"/>
      <c r="O145">
        <f t="shared" si="4"/>
        <v>18</v>
      </c>
    </row>
    <row r="146" spans="1:15">
      <c r="A146" s="60">
        <v>26698</v>
      </c>
      <c r="B146" s="60" t="s">
        <v>204</v>
      </c>
      <c r="C146" s="60">
        <v>0</v>
      </c>
      <c r="D146" s="60">
        <v>0</v>
      </c>
      <c r="E146" s="60">
        <v>49</v>
      </c>
      <c r="F146" s="60">
        <v>392</v>
      </c>
      <c r="G146" s="60">
        <v>1</v>
      </c>
      <c r="H146" s="60">
        <v>0</v>
      </c>
      <c r="I146" s="60">
        <v>50</v>
      </c>
      <c r="J146" s="60">
        <v>392</v>
      </c>
      <c r="K146" s="98">
        <v>0</v>
      </c>
      <c r="L146" s="98">
        <v>1</v>
      </c>
      <c r="M146" s="60"/>
      <c r="O146">
        <f t="shared" si="4"/>
        <v>49</v>
      </c>
    </row>
    <row r="147" spans="1:15">
      <c r="A147" s="60">
        <v>52338</v>
      </c>
      <c r="B147" s="60" t="s">
        <v>309</v>
      </c>
      <c r="C147" s="60">
        <v>19</v>
      </c>
      <c r="D147" s="60">
        <v>286.5</v>
      </c>
      <c r="E147" s="60">
        <v>42</v>
      </c>
      <c r="F147" s="60">
        <v>662.6</v>
      </c>
      <c r="G147" s="60">
        <v>3</v>
      </c>
      <c r="H147" s="60">
        <v>0</v>
      </c>
      <c r="I147" s="60">
        <v>64</v>
      </c>
      <c r="J147" s="60">
        <v>949.1</v>
      </c>
      <c r="K147" s="98">
        <v>0.3019</v>
      </c>
      <c r="L147" s="98">
        <v>0.6981</v>
      </c>
      <c r="M147" s="60"/>
      <c r="O147">
        <f t="shared" si="4"/>
        <v>61</v>
      </c>
    </row>
    <row r="148" spans="1:15">
      <c r="A148" s="60">
        <v>62547</v>
      </c>
      <c r="B148" s="60" t="s">
        <v>310</v>
      </c>
      <c r="C148" s="60">
        <v>24</v>
      </c>
      <c r="D148" s="60">
        <v>375.5</v>
      </c>
      <c r="E148" s="60">
        <v>9</v>
      </c>
      <c r="F148" s="60">
        <v>149.2</v>
      </c>
      <c r="G148" s="60">
        <v>0</v>
      </c>
      <c r="H148" s="60">
        <v>0</v>
      </c>
      <c r="I148" s="60">
        <v>33</v>
      </c>
      <c r="J148" s="60">
        <v>524.7</v>
      </c>
      <c r="K148" s="98">
        <v>0.7156</v>
      </c>
      <c r="L148" s="98">
        <v>0.2844</v>
      </c>
      <c r="M148" s="60"/>
      <c r="O148">
        <f t="shared" si="4"/>
        <v>33</v>
      </c>
    </row>
    <row r="149" spans="1:15">
      <c r="A149" s="60">
        <v>66129</v>
      </c>
      <c r="B149" s="60" t="s">
        <v>311</v>
      </c>
      <c r="C149" s="60">
        <v>104</v>
      </c>
      <c r="D149" s="60">
        <v>1507</v>
      </c>
      <c r="E149" s="60">
        <v>52</v>
      </c>
      <c r="F149" s="60">
        <v>846.6</v>
      </c>
      <c r="G149" s="60">
        <v>0</v>
      </c>
      <c r="H149" s="60">
        <v>0</v>
      </c>
      <c r="I149" s="60">
        <v>156</v>
      </c>
      <c r="J149" s="60">
        <v>2353.6</v>
      </c>
      <c r="K149" s="98">
        <v>0.6403</v>
      </c>
      <c r="L149" s="98">
        <v>0.3597</v>
      </c>
      <c r="M149" s="60"/>
      <c r="O149">
        <f t="shared" si="4"/>
        <v>156</v>
      </c>
    </row>
    <row r="150" spans="1:15">
      <c r="A150" s="60">
        <v>26699</v>
      </c>
      <c r="B150" s="60" t="s">
        <v>312</v>
      </c>
      <c r="C150" s="60">
        <v>24</v>
      </c>
      <c r="D150" s="60">
        <v>324.1</v>
      </c>
      <c r="E150" s="60">
        <v>10</v>
      </c>
      <c r="F150" s="60">
        <v>163</v>
      </c>
      <c r="G150" s="60">
        <v>0</v>
      </c>
      <c r="H150" s="60">
        <v>0</v>
      </c>
      <c r="I150" s="60">
        <v>34</v>
      </c>
      <c r="J150" s="60">
        <v>487.1</v>
      </c>
      <c r="K150" s="98">
        <v>0.6654</v>
      </c>
      <c r="L150" s="98">
        <v>0.3346</v>
      </c>
      <c r="M150" s="60"/>
      <c r="O150">
        <f t="shared" si="4"/>
        <v>34</v>
      </c>
    </row>
    <row r="151" spans="1:15">
      <c r="A151" s="60">
        <v>26395</v>
      </c>
      <c r="B151" s="60" t="s">
        <v>313</v>
      </c>
      <c r="C151" s="60">
        <v>30</v>
      </c>
      <c r="D151" s="60">
        <v>449.4</v>
      </c>
      <c r="E151" s="60">
        <v>19</v>
      </c>
      <c r="F151" s="60">
        <v>316.2</v>
      </c>
      <c r="G151" s="60">
        <v>0</v>
      </c>
      <c r="H151" s="60">
        <v>0</v>
      </c>
      <c r="I151" s="60">
        <v>49</v>
      </c>
      <c r="J151" s="60">
        <v>765.6</v>
      </c>
      <c r="K151" s="98">
        <v>0.587</v>
      </c>
      <c r="L151" s="98">
        <v>0.413</v>
      </c>
      <c r="M151" s="60"/>
      <c r="O151">
        <f t="shared" si="4"/>
        <v>49</v>
      </c>
    </row>
    <row r="152" spans="1:15">
      <c r="A152" s="60">
        <v>33680</v>
      </c>
      <c r="B152" s="60" t="s">
        <v>99</v>
      </c>
      <c r="C152" s="60">
        <v>8</v>
      </c>
      <c r="D152" s="60">
        <v>129.4</v>
      </c>
      <c r="E152" s="60">
        <v>12</v>
      </c>
      <c r="F152" s="60">
        <v>187.6</v>
      </c>
      <c r="G152" s="60">
        <v>0</v>
      </c>
      <c r="H152" s="60">
        <v>0</v>
      </c>
      <c r="I152" s="60">
        <v>20</v>
      </c>
      <c r="J152" s="60">
        <v>317</v>
      </c>
      <c r="K152" s="98">
        <v>0.4082</v>
      </c>
      <c r="L152" s="98">
        <v>0.5918</v>
      </c>
      <c r="M152" s="60"/>
      <c r="O152">
        <f t="shared" si="4"/>
        <v>20</v>
      </c>
    </row>
    <row r="153" spans="1:15">
      <c r="A153" s="60">
        <v>33674</v>
      </c>
      <c r="B153" s="60" t="s">
        <v>98</v>
      </c>
      <c r="C153" s="60">
        <v>17</v>
      </c>
      <c r="D153" s="60">
        <v>243.5</v>
      </c>
      <c r="E153" s="60">
        <v>18</v>
      </c>
      <c r="F153" s="60">
        <v>290.4</v>
      </c>
      <c r="G153" s="60">
        <v>0</v>
      </c>
      <c r="H153" s="60">
        <v>0</v>
      </c>
      <c r="I153" s="60">
        <v>35</v>
      </c>
      <c r="J153" s="60">
        <v>533.9</v>
      </c>
      <c r="K153" s="98">
        <v>0.4561</v>
      </c>
      <c r="L153" s="98">
        <v>0.5439</v>
      </c>
      <c r="M153" s="60"/>
      <c r="O153">
        <f t="shared" si="4"/>
        <v>35</v>
      </c>
    </row>
    <row r="154" spans="1:15">
      <c r="A154" s="60">
        <v>33280</v>
      </c>
      <c r="B154" s="60" t="s">
        <v>196</v>
      </c>
      <c r="C154" s="60">
        <v>0</v>
      </c>
      <c r="D154" s="60">
        <v>0</v>
      </c>
      <c r="E154" s="60">
        <v>8</v>
      </c>
      <c r="F154" s="60">
        <v>50.88</v>
      </c>
      <c r="G154" s="60">
        <v>5</v>
      </c>
      <c r="H154" s="60">
        <v>0</v>
      </c>
      <c r="I154" s="60">
        <v>13</v>
      </c>
      <c r="J154" s="60">
        <v>50.88</v>
      </c>
      <c r="K154" s="98">
        <v>0</v>
      </c>
      <c r="L154" s="98">
        <v>1</v>
      </c>
      <c r="M154" s="60"/>
      <c r="O154">
        <f t="shared" si="4"/>
        <v>8</v>
      </c>
    </row>
    <row r="155" spans="1:15">
      <c r="A155" s="60">
        <v>68715</v>
      </c>
      <c r="B155" s="60" t="s">
        <v>214</v>
      </c>
      <c r="C155" s="60">
        <v>25</v>
      </c>
      <c r="D155" s="60">
        <v>279.4</v>
      </c>
      <c r="E155" s="60">
        <v>25</v>
      </c>
      <c r="F155" s="60">
        <v>293.6</v>
      </c>
      <c r="G155" s="60">
        <v>2</v>
      </c>
      <c r="H155" s="60">
        <v>0</v>
      </c>
      <c r="I155" s="60">
        <v>52</v>
      </c>
      <c r="J155" s="60">
        <v>573</v>
      </c>
      <c r="K155" s="98">
        <v>0.4876</v>
      </c>
      <c r="L155" s="98">
        <v>0.5124</v>
      </c>
      <c r="M155" s="60"/>
      <c r="O155">
        <f t="shared" si="4"/>
        <v>50</v>
      </c>
    </row>
    <row r="156" spans="1:15">
      <c r="A156" s="60">
        <v>161673</v>
      </c>
      <c r="B156" s="60" t="s">
        <v>314</v>
      </c>
      <c r="C156" s="60">
        <v>0</v>
      </c>
      <c r="D156" s="60">
        <v>0</v>
      </c>
      <c r="E156" s="60">
        <v>1</v>
      </c>
      <c r="F156" s="60">
        <v>4</v>
      </c>
      <c r="G156" s="60">
        <v>7</v>
      </c>
      <c r="H156" s="60">
        <v>0</v>
      </c>
      <c r="I156" s="60">
        <v>8</v>
      </c>
      <c r="J156" s="60">
        <v>4</v>
      </c>
      <c r="K156" s="98">
        <v>0</v>
      </c>
      <c r="L156" s="98">
        <v>1</v>
      </c>
      <c r="M156" s="60"/>
      <c r="O156">
        <f t="shared" si="4"/>
        <v>1</v>
      </c>
    </row>
    <row r="157" spans="1:15">
      <c r="A157" s="60">
        <v>26397</v>
      </c>
      <c r="B157" s="60" t="s">
        <v>217</v>
      </c>
      <c r="C157" s="60">
        <v>13</v>
      </c>
      <c r="D157" s="60">
        <v>73.8</v>
      </c>
      <c r="E157" s="60">
        <v>13</v>
      </c>
      <c r="F157" s="60">
        <v>159.4</v>
      </c>
      <c r="G157" s="60">
        <v>1</v>
      </c>
      <c r="H157" s="60">
        <v>0</v>
      </c>
      <c r="I157" s="60">
        <v>27</v>
      </c>
      <c r="J157" s="60">
        <v>233.2</v>
      </c>
      <c r="K157" s="98">
        <v>0.3165</v>
      </c>
      <c r="L157" s="98">
        <v>0.6835</v>
      </c>
      <c r="M157" s="60"/>
      <c r="O157">
        <f t="shared" si="4"/>
        <v>26</v>
      </c>
    </row>
    <row r="158" spans="1:15">
      <c r="A158" s="60">
        <v>23550</v>
      </c>
      <c r="B158" s="60" t="s">
        <v>315</v>
      </c>
      <c r="C158" s="60">
        <v>36</v>
      </c>
      <c r="D158" s="60">
        <v>497.3</v>
      </c>
      <c r="E158" s="60">
        <v>5</v>
      </c>
      <c r="F158" s="60">
        <v>80</v>
      </c>
      <c r="G158" s="60">
        <v>2</v>
      </c>
      <c r="H158" s="60">
        <v>0</v>
      </c>
      <c r="I158" s="60">
        <v>43</v>
      </c>
      <c r="J158" s="60">
        <v>577.3</v>
      </c>
      <c r="K158" s="98">
        <v>0.8614</v>
      </c>
      <c r="L158" s="98">
        <v>0.1386</v>
      </c>
      <c r="M158" s="60"/>
      <c r="O158">
        <f t="shared" si="4"/>
        <v>41</v>
      </c>
    </row>
    <row r="159" spans="1:15">
      <c r="A159" s="60">
        <v>23398</v>
      </c>
      <c r="B159" s="60" t="s">
        <v>316</v>
      </c>
      <c r="C159" s="60">
        <v>4</v>
      </c>
      <c r="D159" s="60">
        <v>61.64</v>
      </c>
      <c r="E159" s="60">
        <v>2</v>
      </c>
      <c r="F159" s="60">
        <v>27.6</v>
      </c>
      <c r="G159" s="60">
        <v>0</v>
      </c>
      <c r="H159" s="60">
        <v>0</v>
      </c>
      <c r="I159" s="60">
        <v>6</v>
      </c>
      <c r="J159" s="60">
        <v>89.24</v>
      </c>
      <c r="K159" s="98">
        <v>0.6907</v>
      </c>
      <c r="L159" s="98">
        <v>0.3093</v>
      </c>
      <c r="M159" s="60"/>
      <c r="O159">
        <f t="shared" si="4"/>
        <v>6</v>
      </c>
    </row>
    <row r="160" spans="1:15">
      <c r="A160" s="60">
        <v>53614</v>
      </c>
      <c r="B160" s="60" t="s">
        <v>220</v>
      </c>
      <c r="C160" s="60">
        <v>4</v>
      </c>
      <c r="D160" s="60">
        <v>6.9</v>
      </c>
      <c r="E160" s="60">
        <v>4</v>
      </c>
      <c r="F160" s="60">
        <v>30.6</v>
      </c>
      <c r="G160" s="60">
        <v>0</v>
      </c>
      <c r="H160" s="60">
        <v>0</v>
      </c>
      <c r="I160" s="60">
        <v>8</v>
      </c>
      <c r="J160" s="60">
        <v>37.5</v>
      </c>
      <c r="K160" s="98">
        <v>0.184</v>
      </c>
      <c r="L160" s="98">
        <v>0.816</v>
      </c>
      <c r="M160" s="60"/>
      <c r="O160">
        <f t="shared" si="4"/>
        <v>8</v>
      </c>
    </row>
    <row r="161" spans="1:15">
      <c r="A161" s="60">
        <v>68717</v>
      </c>
      <c r="B161" s="60" t="s">
        <v>221</v>
      </c>
      <c r="C161" s="60">
        <v>6</v>
      </c>
      <c r="D161" s="60">
        <v>69.8</v>
      </c>
      <c r="E161" s="60">
        <v>5</v>
      </c>
      <c r="F161" s="60">
        <v>61</v>
      </c>
      <c r="G161" s="60">
        <v>7</v>
      </c>
      <c r="H161" s="60">
        <v>0</v>
      </c>
      <c r="I161" s="60">
        <v>18</v>
      </c>
      <c r="J161" s="60">
        <v>130.8</v>
      </c>
      <c r="K161" s="98">
        <v>0.5336</v>
      </c>
      <c r="L161" s="98">
        <v>0.4664</v>
      </c>
      <c r="M161" s="60"/>
      <c r="O161">
        <f t="shared" si="4"/>
        <v>11</v>
      </c>
    </row>
    <row r="162" spans="1:15">
      <c r="A162" s="60">
        <v>58987</v>
      </c>
      <c r="B162" s="60" t="s">
        <v>222</v>
      </c>
      <c r="C162" s="60">
        <v>4</v>
      </c>
      <c r="D162" s="60">
        <v>72.2</v>
      </c>
      <c r="E162" s="60">
        <v>23</v>
      </c>
      <c r="F162" s="60">
        <v>425.4</v>
      </c>
      <c r="G162" s="60">
        <v>3</v>
      </c>
      <c r="H162" s="60">
        <v>0</v>
      </c>
      <c r="I162" s="60">
        <v>30</v>
      </c>
      <c r="J162" s="60">
        <v>497.6</v>
      </c>
      <c r="K162" s="98">
        <v>0.1451</v>
      </c>
      <c r="L162" s="98">
        <v>0.8549</v>
      </c>
      <c r="O162">
        <f t="shared" si="4"/>
        <v>27</v>
      </c>
    </row>
    <row r="163" spans="1:15">
      <c r="A163" s="60">
        <v>58986</v>
      </c>
      <c r="B163" s="60" t="s">
        <v>223</v>
      </c>
      <c r="C163" s="60">
        <v>14</v>
      </c>
      <c r="D163" s="60">
        <v>80.8</v>
      </c>
      <c r="E163" s="60">
        <v>7</v>
      </c>
      <c r="F163" s="60">
        <v>60.2</v>
      </c>
      <c r="G163" s="60">
        <v>2</v>
      </c>
      <c r="H163" s="60">
        <v>0</v>
      </c>
      <c r="I163" s="60">
        <v>23</v>
      </c>
      <c r="J163" s="60">
        <v>141</v>
      </c>
      <c r="K163" s="98">
        <v>0.573</v>
      </c>
      <c r="L163" s="98">
        <v>0.427</v>
      </c>
      <c r="O163">
        <f t="shared" ref="O163:O183" si="5">I163-G163-H163</f>
        <v>21</v>
      </c>
    </row>
    <row r="164" spans="1:15">
      <c r="A164" s="60">
        <v>26039</v>
      </c>
      <c r="B164" s="60" t="s">
        <v>35</v>
      </c>
      <c r="C164" s="60">
        <v>7</v>
      </c>
      <c r="D164" s="60">
        <v>67.8</v>
      </c>
      <c r="E164" s="60">
        <v>4</v>
      </c>
      <c r="F164" s="60">
        <v>43.2</v>
      </c>
      <c r="G164" s="60">
        <v>2</v>
      </c>
      <c r="H164" s="60">
        <v>0</v>
      </c>
      <c r="I164" s="60">
        <v>13</v>
      </c>
      <c r="J164" s="60">
        <v>111</v>
      </c>
      <c r="K164" s="98">
        <v>0.6108</v>
      </c>
      <c r="L164" s="98">
        <v>0.3892</v>
      </c>
      <c r="O164">
        <f t="shared" si="5"/>
        <v>11</v>
      </c>
    </row>
    <row r="165" spans="1:15">
      <c r="A165" s="60">
        <v>71352</v>
      </c>
      <c r="B165" s="60" t="s">
        <v>224</v>
      </c>
      <c r="C165" s="60">
        <v>33</v>
      </c>
      <c r="D165" s="60">
        <v>238.96</v>
      </c>
      <c r="E165" s="60">
        <v>18</v>
      </c>
      <c r="F165" s="60">
        <v>210.6</v>
      </c>
      <c r="G165" s="60">
        <v>5</v>
      </c>
      <c r="H165" s="60">
        <v>0</v>
      </c>
      <c r="I165" s="60">
        <v>56</v>
      </c>
      <c r="J165" s="60">
        <v>449.56</v>
      </c>
      <c r="K165" s="98">
        <v>0.5315</v>
      </c>
      <c r="L165" s="98">
        <v>0.4685</v>
      </c>
      <c r="O165">
        <f t="shared" si="5"/>
        <v>51</v>
      </c>
    </row>
    <row r="166" spans="1:15">
      <c r="A166" s="60">
        <v>33414</v>
      </c>
      <c r="B166" s="60" t="s">
        <v>317</v>
      </c>
      <c r="C166" s="60">
        <v>24</v>
      </c>
      <c r="D166" s="60">
        <v>116</v>
      </c>
      <c r="E166" s="60">
        <v>8</v>
      </c>
      <c r="F166" s="60">
        <v>88.4</v>
      </c>
      <c r="G166" s="60">
        <v>9</v>
      </c>
      <c r="H166" s="60">
        <v>0</v>
      </c>
      <c r="I166" s="60">
        <v>41</v>
      </c>
      <c r="J166" s="60">
        <v>204.4</v>
      </c>
      <c r="K166" s="98">
        <v>0.5675</v>
      </c>
      <c r="L166" s="98">
        <v>0.4325</v>
      </c>
      <c r="O166">
        <f t="shared" si="5"/>
        <v>32</v>
      </c>
    </row>
    <row r="167" spans="1:15">
      <c r="A167" s="60">
        <v>33426</v>
      </c>
      <c r="B167" s="60" t="s">
        <v>318</v>
      </c>
      <c r="C167" s="60">
        <v>11</v>
      </c>
      <c r="D167" s="60">
        <v>98.4</v>
      </c>
      <c r="E167" s="60">
        <v>2</v>
      </c>
      <c r="F167" s="60">
        <v>21.6</v>
      </c>
      <c r="G167" s="60">
        <v>18</v>
      </c>
      <c r="H167" s="60">
        <v>0</v>
      </c>
      <c r="I167" s="60">
        <v>31</v>
      </c>
      <c r="J167" s="60">
        <v>120</v>
      </c>
      <c r="K167" s="98">
        <v>0.82</v>
      </c>
      <c r="L167" s="98">
        <v>0.18</v>
      </c>
      <c r="O167">
        <f t="shared" si="5"/>
        <v>13</v>
      </c>
    </row>
    <row r="168" spans="1:15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100"/>
      <c r="L168" s="100"/>
      <c r="O168">
        <f t="shared" si="5"/>
        <v>0</v>
      </c>
    </row>
    <row r="169" spans="1:15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100"/>
      <c r="L169" s="100"/>
      <c r="O169">
        <f t="shared" si="5"/>
        <v>0</v>
      </c>
    </row>
    <row r="170" spans="1:15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100"/>
      <c r="L170" s="100"/>
      <c r="O170">
        <f t="shared" si="5"/>
        <v>0</v>
      </c>
    </row>
    <row r="171" spans="1:15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100"/>
      <c r="L171" s="100"/>
      <c r="O171">
        <f t="shared" si="5"/>
        <v>0</v>
      </c>
    </row>
    <row r="172" spans="1:15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100"/>
      <c r="L172" s="100"/>
      <c r="O172">
        <f t="shared" si="5"/>
        <v>0</v>
      </c>
    </row>
    <row r="173" spans="1:15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100"/>
      <c r="L173" s="100"/>
      <c r="O173">
        <f t="shared" si="5"/>
        <v>0</v>
      </c>
    </row>
    <row r="174" spans="1:15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100"/>
      <c r="L174" s="100"/>
      <c r="O174">
        <f t="shared" si="5"/>
        <v>0</v>
      </c>
    </row>
    <row r="175" spans="1:1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100"/>
      <c r="L175" s="100"/>
      <c r="O175">
        <f t="shared" si="5"/>
        <v>0</v>
      </c>
    </row>
    <row r="176" spans="1:15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100"/>
      <c r="L176" s="100"/>
      <c r="O176">
        <f t="shared" si="5"/>
        <v>0</v>
      </c>
    </row>
    <row r="177" spans="1:15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100"/>
      <c r="L177" s="100"/>
      <c r="O177">
        <f t="shared" si="5"/>
        <v>0</v>
      </c>
    </row>
    <row r="178" spans="1:15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100"/>
      <c r="L178" s="100"/>
      <c r="O178">
        <f t="shared" si="5"/>
        <v>0</v>
      </c>
    </row>
    <row r="179" spans="1:15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100"/>
      <c r="L179" s="100"/>
      <c r="O179">
        <f t="shared" si="5"/>
        <v>0</v>
      </c>
    </row>
    <row r="180" spans="1:15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100"/>
      <c r="L180" s="100"/>
      <c r="O180">
        <f t="shared" si="5"/>
        <v>0</v>
      </c>
    </row>
    <row r="181" spans="1:15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100"/>
      <c r="L181" s="100"/>
      <c r="O181">
        <f t="shared" si="5"/>
        <v>0</v>
      </c>
    </row>
    <row r="182" spans="1:15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100"/>
      <c r="L182" s="100"/>
      <c r="O182">
        <f t="shared" si="5"/>
        <v>0</v>
      </c>
    </row>
    <row r="183" spans="1:15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100"/>
      <c r="L183" s="100"/>
      <c r="O183">
        <f t="shared" si="5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9"/>
  <sheetViews>
    <sheetView workbookViewId="0">
      <selection activeCell="C33" sqref="C33"/>
    </sheetView>
  </sheetViews>
  <sheetFormatPr defaultColWidth="8.8" defaultRowHeight="18" customHeight="1" outlineLevelCol="4"/>
  <cols>
    <col min="1" max="1" width="36.0083333333333" customWidth="1"/>
    <col min="2" max="2" width="11.6083333333333" customWidth="1"/>
    <col min="3" max="3" width="34.4" customWidth="1"/>
    <col min="4" max="4" width="11.5" customWidth="1"/>
  </cols>
  <sheetData>
    <row r="1" customHeight="1" spans="1:5">
      <c r="A1" s="95" t="s">
        <v>323</v>
      </c>
      <c r="B1" s="96" t="s">
        <v>324</v>
      </c>
      <c r="C1" s="96" t="s">
        <v>323</v>
      </c>
      <c r="D1" s="97" t="s">
        <v>325</v>
      </c>
      <c r="E1" s="97"/>
    </row>
    <row r="2" customHeight="1" spans="1:5">
      <c r="A2" s="69"/>
      <c r="B2" s="69">
        <v>79339</v>
      </c>
      <c r="C2" s="69"/>
      <c r="D2" s="69"/>
      <c r="E2" s="97"/>
    </row>
    <row r="3" customHeight="1" spans="1:5">
      <c r="A3" s="69"/>
      <c r="B3" s="69">
        <v>33679</v>
      </c>
      <c r="C3" s="69"/>
      <c r="D3" s="69"/>
      <c r="E3" s="97"/>
    </row>
    <row r="4" customHeight="1" spans="1:5">
      <c r="A4" s="69"/>
      <c r="B4" s="69">
        <v>33687</v>
      </c>
      <c r="C4" s="69"/>
      <c r="D4" s="69"/>
      <c r="E4" s="97"/>
    </row>
    <row r="5" customHeight="1" spans="1:5">
      <c r="A5" s="69"/>
      <c r="B5" s="69">
        <v>12241</v>
      </c>
      <c r="C5" s="69"/>
      <c r="D5" s="69"/>
      <c r="E5" s="97"/>
    </row>
    <row r="6" customHeight="1" spans="1:5">
      <c r="A6" s="69"/>
      <c r="B6" s="69">
        <v>12256</v>
      </c>
      <c r="C6" s="69"/>
      <c r="D6" s="69"/>
      <c r="E6" s="97"/>
    </row>
    <row r="7" customHeight="1" spans="1:5">
      <c r="A7" s="69"/>
      <c r="B7" s="69">
        <v>67235</v>
      </c>
      <c r="C7" s="69"/>
      <c r="D7" s="69"/>
      <c r="E7" s="97"/>
    </row>
    <row r="8" customHeight="1" spans="1:5">
      <c r="A8" s="69"/>
      <c r="B8" s="69">
        <v>68718</v>
      </c>
      <c r="C8" s="69"/>
      <c r="D8" s="69"/>
      <c r="E8" s="97"/>
    </row>
    <row r="9" customHeight="1" spans="1:5">
      <c r="A9" s="69"/>
      <c r="B9" s="69">
        <v>66130</v>
      </c>
      <c r="C9" s="69"/>
      <c r="D9" s="69"/>
      <c r="E9" s="97"/>
    </row>
    <row r="10" customHeight="1" spans="1:5">
      <c r="A10" s="69"/>
      <c r="B10" s="69">
        <v>52944</v>
      </c>
      <c r="C10" s="69"/>
      <c r="D10" s="69"/>
      <c r="E10" s="97"/>
    </row>
    <row r="11" customHeight="1" spans="1:5">
      <c r="A11" s="69"/>
      <c r="B11" s="69">
        <v>33416</v>
      </c>
      <c r="C11" s="69"/>
      <c r="D11" s="69"/>
      <c r="E11" s="97"/>
    </row>
    <row r="12" customHeight="1" spans="1:5">
      <c r="A12" s="69"/>
      <c r="B12" s="69">
        <v>33427</v>
      </c>
      <c r="C12" s="69"/>
      <c r="D12" s="69"/>
      <c r="E12" s="97"/>
    </row>
    <row r="13" customHeight="1" spans="1:5">
      <c r="A13" s="69"/>
      <c r="B13" s="69">
        <v>33422</v>
      </c>
      <c r="C13" s="69"/>
      <c r="D13" s="69"/>
      <c r="E13" s="97"/>
    </row>
    <row r="14" customHeight="1" spans="1:5">
      <c r="A14" s="69"/>
      <c r="B14" s="69">
        <v>58987</v>
      </c>
      <c r="C14" s="69"/>
      <c r="D14" s="69"/>
      <c r="E14" s="97"/>
    </row>
    <row r="15" customHeight="1" spans="1:5">
      <c r="A15" s="69"/>
      <c r="B15" s="69">
        <v>33515</v>
      </c>
      <c r="C15" s="69"/>
      <c r="D15" s="69"/>
      <c r="E15" s="97"/>
    </row>
    <row r="16" customHeight="1" spans="1:5">
      <c r="A16" s="69"/>
      <c r="B16" s="69">
        <v>33420</v>
      </c>
      <c r="C16" s="69"/>
      <c r="D16" s="69"/>
      <c r="E16" s="97"/>
    </row>
    <row r="17" customHeight="1" spans="1:5">
      <c r="A17" s="69"/>
      <c r="B17" s="69">
        <v>53058</v>
      </c>
      <c r="C17" s="69"/>
      <c r="D17" s="69"/>
      <c r="E17" s="97"/>
    </row>
    <row r="18" customHeight="1" spans="1:5">
      <c r="A18" s="69"/>
      <c r="B18" s="69">
        <v>33279</v>
      </c>
      <c r="C18" s="69"/>
      <c r="D18" s="69"/>
      <c r="E18" s="97"/>
    </row>
    <row r="19" customHeight="1" spans="1:5">
      <c r="A19" s="69"/>
      <c r="B19" s="69">
        <v>22335</v>
      </c>
      <c r="C19" s="69"/>
      <c r="D19" s="69"/>
      <c r="E19" s="97"/>
    </row>
    <row r="20" customHeight="1" spans="1:5">
      <c r="A20" s="69"/>
      <c r="B20" s="69">
        <v>33424</v>
      </c>
      <c r="C20" s="69"/>
      <c r="D20" s="69"/>
      <c r="E20" s="97"/>
    </row>
    <row r="21" customHeight="1" spans="1:5">
      <c r="A21" s="69"/>
      <c r="B21" s="69">
        <v>62547</v>
      </c>
      <c r="C21" s="69"/>
      <c r="D21" s="69"/>
      <c r="E21" s="97"/>
    </row>
    <row r="22" customHeight="1" spans="1:5">
      <c r="A22" s="69"/>
      <c r="B22" s="69">
        <v>66129</v>
      </c>
      <c r="C22" s="69"/>
      <c r="D22" s="69"/>
      <c r="E22" s="97"/>
    </row>
    <row r="23" customHeight="1" spans="1:5">
      <c r="A23" s="69"/>
      <c r="B23" s="69">
        <v>33413</v>
      </c>
      <c r="C23" s="69"/>
      <c r="D23" s="69"/>
      <c r="E23" s="97"/>
    </row>
    <row r="24" customHeight="1" spans="1:5">
      <c r="A24" s="69"/>
      <c r="B24" s="69">
        <v>18857</v>
      </c>
      <c r="C24" s="69"/>
      <c r="D24" s="69"/>
      <c r="E24" s="97"/>
    </row>
    <row r="25" customHeight="1" spans="1:4">
      <c r="A25" s="69"/>
      <c r="B25" s="69">
        <v>26986</v>
      </c>
      <c r="C25" s="69"/>
      <c r="D25" s="69"/>
    </row>
    <row r="26" customHeight="1" spans="1:4">
      <c r="A26" s="69"/>
      <c r="B26" s="69">
        <v>33417</v>
      </c>
      <c r="C26" s="69"/>
      <c r="D26" s="69"/>
    </row>
    <row r="27" customHeight="1" spans="1:4">
      <c r="A27" s="69"/>
      <c r="B27" s="69">
        <v>66331</v>
      </c>
      <c r="C27" s="69"/>
      <c r="D27" s="69"/>
    </row>
    <row r="28" customHeight="1" spans="1:4">
      <c r="A28" s="69"/>
      <c r="B28" s="69">
        <v>22176</v>
      </c>
      <c r="C28" s="69"/>
      <c r="D28" s="69"/>
    </row>
    <row r="29" customHeight="1" spans="1:4">
      <c r="A29" s="69"/>
      <c r="B29" s="69">
        <v>26039</v>
      </c>
      <c r="C29" s="69"/>
      <c r="D29" s="69"/>
    </row>
    <row r="30" customHeight="1" spans="1:4">
      <c r="A30" s="69"/>
      <c r="B30" s="69">
        <v>66332</v>
      </c>
      <c r="C30" s="69"/>
      <c r="D30" s="69"/>
    </row>
    <row r="31" customHeight="1" spans="1:4">
      <c r="A31" s="69"/>
      <c r="B31" s="69">
        <v>52943</v>
      </c>
      <c r="C31" s="69"/>
      <c r="D31" s="69"/>
    </row>
    <row r="32" customHeight="1" spans="1:4">
      <c r="A32" s="69"/>
      <c r="B32" s="69">
        <v>33524</v>
      </c>
      <c r="C32" s="69"/>
      <c r="D32" s="69"/>
    </row>
    <row r="33" customHeight="1" spans="1:4">
      <c r="A33" s="69"/>
      <c r="B33" s="69">
        <v>33430</v>
      </c>
      <c r="C33" s="69"/>
      <c r="D33" s="69"/>
    </row>
    <row r="34" customHeight="1" spans="1:4">
      <c r="A34" s="69"/>
      <c r="B34" s="69">
        <v>53254</v>
      </c>
      <c r="C34" s="69"/>
      <c r="D34" s="69"/>
    </row>
    <row r="35" customHeight="1" spans="1:4">
      <c r="A35" s="69"/>
      <c r="B35" s="69">
        <v>33512</v>
      </c>
      <c r="C35" s="69"/>
      <c r="D35" s="69"/>
    </row>
    <row r="36" customHeight="1" spans="1:4">
      <c r="A36" s="69"/>
      <c r="B36" s="69">
        <v>68717</v>
      </c>
      <c r="C36" s="69"/>
      <c r="D36" s="69"/>
    </row>
    <row r="37" customHeight="1" spans="1:4">
      <c r="A37" s="69"/>
      <c r="B37" s="69">
        <v>33511</v>
      </c>
      <c r="C37" s="69"/>
      <c r="D37" s="69"/>
    </row>
    <row r="38" customHeight="1" spans="1:4">
      <c r="A38" s="69"/>
      <c r="B38" s="69">
        <v>33513</v>
      </c>
      <c r="C38" s="69"/>
      <c r="D38" s="69"/>
    </row>
    <row r="39" customHeight="1" spans="1:4">
      <c r="A39" s="69"/>
      <c r="B39" s="69">
        <v>22219</v>
      </c>
      <c r="C39" s="69"/>
      <c r="D39" s="69"/>
    </row>
    <row r="40" customHeight="1" spans="1:4">
      <c r="A40" s="69"/>
      <c r="B40" s="69">
        <v>68715</v>
      </c>
      <c r="C40" s="69"/>
      <c r="D40" s="69"/>
    </row>
    <row r="41" customHeight="1" spans="1:4">
      <c r="A41" s="69"/>
      <c r="B41" s="69">
        <v>18871</v>
      </c>
      <c r="C41" s="69"/>
      <c r="D41" s="69"/>
    </row>
    <row r="42" customHeight="1" spans="1:4">
      <c r="A42" s="69"/>
      <c r="B42" s="69">
        <v>33682</v>
      </c>
      <c r="C42" s="69"/>
      <c r="D42" s="69"/>
    </row>
    <row r="43" customHeight="1" spans="1:4">
      <c r="A43" s="69"/>
      <c r="B43" s="69">
        <v>19393</v>
      </c>
      <c r="C43" s="69"/>
      <c r="D43" s="69"/>
    </row>
    <row r="44" customHeight="1" spans="1:4">
      <c r="A44" s="69"/>
      <c r="B44" s="69">
        <v>68719</v>
      </c>
      <c r="C44" s="69"/>
      <c r="D44" s="69"/>
    </row>
    <row r="45" customHeight="1" spans="1:4">
      <c r="A45" s="69"/>
      <c r="B45" s="69">
        <v>33674</v>
      </c>
      <c r="C45" s="69"/>
      <c r="D45" s="69"/>
    </row>
    <row r="46" customHeight="1" spans="1:4">
      <c r="A46" s="69"/>
      <c r="B46" s="69">
        <v>71352</v>
      </c>
      <c r="C46" s="69"/>
      <c r="D46" s="69"/>
    </row>
    <row r="47" customHeight="1" spans="1:4">
      <c r="A47" s="69"/>
      <c r="B47" s="69">
        <v>33280</v>
      </c>
      <c r="C47" s="69"/>
      <c r="D47" s="69"/>
    </row>
    <row r="48" customHeight="1" spans="1:4">
      <c r="A48" s="69"/>
      <c r="B48" s="69">
        <v>33680</v>
      </c>
      <c r="C48" s="69"/>
      <c r="D48" s="69"/>
    </row>
    <row r="49" customHeight="1" spans="1:4">
      <c r="A49" s="69"/>
      <c r="B49" s="69">
        <v>33516</v>
      </c>
      <c r="C49" s="69"/>
      <c r="D49" s="69"/>
    </row>
    <row r="50" customHeight="1" spans="1:4">
      <c r="A50" s="69"/>
      <c r="B50" s="69">
        <v>30012</v>
      </c>
      <c r="C50" s="69"/>
      <c r="D50" s="69"/>
    </row>
    <row r="51" customHeight="1" spans="1:4">
      <c r="A51" s="69"/>
      <c r="B51" s="69">
        <v>29355</v>
      </c>
      <c r="C51" s="69"/>
      <c r="D51" s="69"/>
    </row>
    <row r="52" customHeight="1" spans="1:4">
      <c r="A52" s="69"/>
      <c r="B52" s="69">
        <v>29354</v>
      </c>
      <c r="C52" s="69"/>
      <c r="D52" s="69"/>
    </row>
    <row r="53" customHeight="1" spans="1:4">
      <c r="A53" s="69"/>
      <c r="B53" s="69">
        <v>20905</v>
      </c>
      <c r="C53" s="69"/>
      <c r="D53" s="69"/>
    </row>
    <row r="54" customHeight="1" spans="1:4">
      <c r="A54" s="69"/>
      <c r="B54" s="69">
        <v>54632</v>
      </c>
      <c r="C54" s="69"/>
      <c r="D54" s="69"/>
    </row>
    <row r="55" customHeight="1" spans="1:4">
      <c r="A55" s="69"/>
      <c r="B55" s="69">
        <v>33522</v>
      </c>
      <c r="C55" s="69"/>
      <c r="D55" s="69"/>
    </row>
    <row r="56" customHeight="1" spans="1:4">
      <c r="A56" s="69"/>
      <c r="B56" s="69">
        <v>20915</v>
      </c>
      <c r="C56" s="69"/>
      <c r="D56" s="69"/>
    </row>
    <row r="57" customHeight="1" spans="1:4">
      <c r="A57" s="69"/>
      <c r="B57" s="69">
        <v>33423</v>
      </c>
      <c r="C57" s="69"/>
      <c r="D57" s="69"/>
    </row>
    <row r="58" customHeight="1" spans="1:4">
      <c r="A58" s="69"/>
      <c r="B58" s="69">
        <v>33428</v>
      </c>
      <c r="C58" s="69"/>
      <c r="D58" s="69"/>
    </row>
    <row r="59" customHeight="1" spans="1:4">
      <c r="A59" s="69"/>
      <c r="B59" s="69">
        <v>52944</v>
      </c>
      <c r="C59" s="69"/>
      <c r="D59" s="69"/>
    </row>
    <row r="60" customHeight="1" spans="1:4">
      <c r="A60" s="69"/>
      <c r="B60" s="69">
        <v>52339</v>
      </c>
      <c r="C60" s="69"/>
      <c r="D60" s="69"/>
    </row>
    <row r="61" customHeight="1" spans="1:4">
      <c r="A61" s="69"/>
      <c r="B61" s="69">
        <v>33520</v>
      </c>
      <c r="C61" s="69"/>
      <c r="D61" s="69"/>
    </row>
    <row r="62" customHeight="1" spans="1:4">
      <c r="A62" s="69"/>
      <c r="B62" s="69">
        <v>52938</v>
      </c>
      <c r="C62" s="69"/>
      <c r="D62" s="69"/>
    </row>
    <row r="63" customHeight="1" spans="1:4">
      <c r="A63" s="69"/>
      <c r="B63" s="69">
        <v>33279</v>
      </c>
      <c r="C63" s="69"/>
      <c r="D63" s="69"/>
    </row>
    <row r="64" customHeight="1" spans="1:4">
      <c r="A64" s="69"/>
      <c r="B64" s="69">
        <v>79338</v>
      </c>
      <c r="C64" s="69"/>
      <c r="D64" s="69"/>
    </row>
    <row r="65" customHeight="1" spans="1:4">
      <c r="A65" s="69"/>
      <c r="B65" s="69">
        <v>33691</v>
      </c>
      <c r="C65" s="69"/>
      <c r="D65" s="69"/>
    </row>
    <row r="66" customHeight="1" spans="1:4">
      <c r="A66" s="69"/>
      <c r="B66" s="69">
        <v>26395</v>
      </c>
      <c r="C66" s="69"/>
      <c r="D66" s="69"/>
    </row>
    <row r="67" customHeight="1" spans="1:4">
      <c r="A67" s="69"/>
      <c r="B67" s="69">
        <v>66333</v>
      </c>
      <c r="C67" s="69"/>
      <c r="D67" s="69"/>
    </row>
    <row r="68" customHeight="1" spans="1:4">
      <c r="A68" s="69"/>
      <c r="B68" s="69">
        <v>67236</v>
      </c>
      <c r="C68" s="69"/>
      <c r="D68" s="69"/>
    </row>
    <row r="69" customHeight="1" spans="1:4">
      <c r="A69" s="69"/>
      <c r="B69" s="69">
        <v>26990</v>
      </c>
      <c r="C69" s="69"/>
      <c r="D69" s="69"/>
    </row>
    <row r="70" customHeight="1" spans="1:4">
      <c r="A70" s="69"/>
      <c r="B70" s="69">
        <v>33427</v>
      </c>
      <c r="C70" s="69"/>
      <c r="D70" s="69"/>
    </row>
    <row r="71" customHeight="1" spans="1:4">
      <c r="A71" s="69"/>
      <c r="B71" s="69">
        <v>68719</v>
      </c>
      <c r="C71" s="69"/>
      <c r="D71" s="69"/>
    </row>
    <row r="72" customHeight="1" spans="1:4">
      <c r="A72" s="69"/>
      <c r="B72" s="69">
        <v>52941</v>
      </c>
      <c r="C72" s="69"/>
      <c r="D72" s="69"/>
    </row>
    <row r="73" customHeight="1" spans="1:4">
      <c r="A73" s="69"/>
      <c r="B73" s="69">
        <v>52942</v>
      </c>
      <c r="C73" s="69"/>
      <c r="D73" s="69"/>
    </row>
    <row r="74" customHeight="1" spans="1:4">
      <c r="A74" s="69"/>
      <c r="B74" s="69">
        <v>52338</v>
      </c>
      <c r="C74" s="69"/>
      <c r="D74" s="69"/>
    </row>
    <row r="75" customHeight="1" spans="1:4">
      <c r="A75" s="69"/>
      <c r="B75" s="69">
        <v>33418</v>
      </c>
      <c r="C75" s="69"/>
      <c r="D75" s="69"/>
    </row>
    <row r="76" customHeight="1" spans="1:4">
      <c r="A76" s="69"/>
      <c r="B76" s="69">
        <v>68716</v>
      </c>
      <c r="C76" s="69"/>
      <c r="D76" s="69"/>
    </row>
    <row r="77" customHeight="1" spans="1:4">
      <c r="A77" s="69"/>
      <c r="B77" s="69">
        <v>33416</v>
      </c>
      <c r="C77" s="69"/>
      <c r="D77" s="69"/>
    </row>
    <row r="78" customHeight="1" spans="1:4">
      <c r="A78" s="69"/>
      <c r="B78" s="69">
        <v>68714</v>
      </c>
      <c r="C78" s="69"/>
      <c r="D78" s="69"/>
    </row>
    <row r="79" customHeight="1" spans="1:4">
      <c r="A79" s="69"/>
      <c r="B79" s="69">
        <v>68722</v>
      </c>
      <c r="C79" s="69"/>
      <c r="D79" s="69"/>
    </row>
    <row r="80" customHeight="1" spans="1:4">
      <c r="A80" s="69"/>
      <c r="B80" s="69">
        <v>52943</v>
      </c>
      <c r="C80" s="69"/>
      <c r="D80" s="69"/>
    </row>
    <row r="81" customHeight="1" spans="1:4">
      <c r="A81" s="69"/>
      <c r="B81" s="69">
        <v>26699</v>
      </c>
      <c r="C81" s="69"/>
      <c r="D81" s="69"/>
    </row>
    <row r="82" customHeight="1" spans="1:4">
      <c r="A82" s="69"/>
      <c r="B82" s="69">
        <v>33422</v>
      </c>
      <c r="C82" s="69"/>
      <c r="D82" s="69"/>
    </row>
    <row r="83" customHeight="1" spans="1:4">
      <c r="A83" s="69"/>
      <c r="B83" s="69">
        <v>33511</v>
      </c>
      <c r="C83" s="69"/>
      <c r="D83" s="69"/>
    </row>
    <row r="84" customHeight="1" spans="1:4">
      <c r="A84" s="69"/>
      <c r="B84" s="69">
        <v>22253</v>
      </c>
      <c r="C84" s="69"/>
      <c r="D84" s="69"/>
    </row>
    <row r="85" customHeight="1" spans="1:4">
      <c r="A85" s="69"/>
      <c r="B85" s="69">
        <v>33420</v>
      </c>
      <c r="C85" s="69"/>
      <c r="D85" s="69"/>
    </row>
    <row r="86" customHeight="1" spans="1:4">
      <c r="A86" s="69"/>
      <c r="B86" s="69">
        <v>23395</v>
      </c>
      <c r="C86" s="69"/>
      <c r="D86" s="69"/>
    </row>
    <row r="87" customHeight="1" spans="1:4">
      <c r="A87" s="69"/>
      <c r="B87" s="69">
        <v>62546</v>
      </c>
      <c r="C87" s="69"/>
      <c r="D87" s="69"/>
    </row>
    <row r="88" customHeight="1" spans="1:4">
      <c r="A88" s="69"/>
      <c r="B88" s="69">
        <v>68723</v>
      </c>
      <c r="C88" s="69"/>
      <c r="D88" s="69"/>
    </row>
    <row r="89" customHeight="1" spans="1:4">
      <c r="A89" s="69"/>
      <c r="B89" s="69">
        <v>22258</v>
      </c>
      <c r="C89" s="69"/>
      <c r="D89" s="69"/>
    </row>
    <row r="90" customHeight="1" spans="1:4">
      <c r="A90" s="69"/>
      <c r="B90" s="69">
        <v>33689</v>
      </c>
      <c r="C90" s="69"/>
      <c r="D90" s="69"/>
    </row>
    <row r="91" customHeight="1" spans="1:4">
      <c r="A91" s="69"/>
      <c r="B91" s="69">
        <v>20903</v>
      </c>
      <c r="C91" s="69"/>
      <c r="D91" s="69"/>
    </row>
    <row r="92" customHeight="1" spans="1:4">
      <c r="A92" s="69"/>
      <c r="B92" s="69">
        <v>22462</v>
      </c>
      <c r="C92" s="69"/>
      <c r="D92" s="69"/>
    </row>
    <row r="93" customHeight="1" spans="1:4">
      <c r="A93" s="69"/>
      <c r="B93" s="69">
        <v>22461</v>
      </c>
      <c r="C93" s="69"/>
      <c r="D93" s="69"/>
    </row>
    <row r="94" customHeight="1" spans="1:4">
      <c r="A94" s="69"/>
      <c r="B94" s="69">
        <v>20770</v>
      </c>
      <c r="C94" s="69"/>
      <c r="D94" s="69"/>
    </row>
    <row r="95" customHeight="1" spans="1:4">
      <c r="A95" s="69"/>
      <c r="B95" s="69">
        <v>33424</v>
      </c>
      <c r="C95" s="69"/>
      <c r="D95" s="69"/>
    </row>
    <row r="96" customHeight="1" spans="1:4">
      <c r="A96" s="69"/>
      <c r="B96" s="69">
        <v>12267</v>
      </c>
      <c r="C96" s="69"/>
      <c r="D96" s="69"/>
    </row>
    <row r="97" customHeight="1" spans="1:4">
      <c r="A97" s="69"/>
      <c r="B97" s="69">
        <v>19393</v>
      </c>
      <c r="C97" s="69"/>
      <c r="D97" s="69"/>
    </row>
    <row r="98" customHeight="1" spans="1:4">
      <c r="A98" s="69"/>
      <c r="B98" s="69">
        <v>66129</v>
      </c>
      <c r="C98" s="69"/>
      <c r="D98" s="69"/>
    </row>
    <row r="99" customHeight="1" spans="1:4">
      <c r="A99" s="69"/>
      <c r="B99" s="69">
        <v>62547</v>
      </c>
      <c r="C99" s="69"/>
      <c r="D99" s="69"/>
    </row>
    <row r="100" customHeight="1" spans="1:4">
      <c r="A100" s="69"/>
      <c r="B100" s="69">
        <v>66332</v>
      </c>
      <c r="C100" s="69"/>
      <c r="D100" s="69"/>
    </row>
    <row r="101" customHeight="1" spans="1:4">
      <c r="A101" s="69"/>
      <c r="B101" s="69">
        <v>79339</v>
      </c>
      <c r="C101" s="69"/>
      <c r="D101" s="69"/>
    </row>
    <row r="102" customHeight="1" spans="1:4">
      <c r="A102" s="69"/>
      <c r="B102" s="69">
        <v>26986</v>
      </c>
      <c r="C102" s="69"/>
      <c r="D102" s="69"/>
    </row>
    <row r="103" customHeight="1" spans="1:4">
      <c r="A103" s="69"/>
      <c r="B103" s="69">
        <v>22176</v>
      </c>
      <c r="C103" s="69"/>
      <c r="D103" s="69"/>
    </row>
    <row r="104" customHeight="1" spans="1:4">
      <c r="A104" s="69"/>
      <c r="B104" s="69">
        <v>66334</v>
      </c>
      <c r="C104" s="69"/>
      <c r="D104" s="69"/>
    </row>
    <row r="105" customHeight="1" spans="1:4">
      <c r="A105" s="69"/>
      <c r="B105" s="69">
        <v>66331</v>
      </c>
      <c r="C105" s="69"/>
      <c r="D105" s="69"/>
    </row>
    <row r="106" customHeight="1" spans="1:4">
      <c r="A106" s="69"/>
      <c r="B106" s="69">
        <v>33513</v>
      </c>
      <c r="C106" s="69"/>
      <c r="D106" s="69"/>
    </row>
    <row r="107" customHeight="1" spans="1:4">
      <c r="A107" s="69"/>
      <c r="B107" s="69">
        <v>74081</v>
      </c>
      <c r="C107" s="69"/>
      <c r="D107" s="69"/>
    </row>
    <row r="108" customHeight="1" spans="1:4">
      <c r="A108" s="69"/>
      <c r="B108" s="69">
        <v>67234</v>
      </c>
      <c r="C108" s="69"/>
      <c r="D108" s="69"/>
    </row>
    <row r="109" customHeight="1" spans="1:4">
      <c r="A109" s="69"/>
      <c r="B109" s="69">
        <v>33430</v>
      </c>
      <c r="C109" s="69"/>
      <c r="D109" s="69"/>
    </row>
    <row r="110" customHeight="1" spans="1:4">
      <c r="A110" s="69"/>
      <c r="B110" s="69">
        <v>33417</v>
      </c>
      <c r="C110" s="69"/>
      <c r="D110" s="69"/>
    </row>
    <row r="111" customHeight="1" spans="1:4">
      <c r="A111" s="69"/>
      <c r="B111" s="69">
        <v>33512</v>
      </c>
      <c r="C111" s="69"/>
      <c r="D111" s="69"/>
    </row>
    <row r="112" customHeight="1" spans="1:4">
      <c r="A112" s="69"/>
      <c r="B112" s="69">
        <v>58987</v>
      </c>
      <c r="C112" s="69"/>
      <c r="D112" s="69"/>
    </row>
    <row r="113" customHeight="1" spans="1:4">
      <c r="A113" s="69"/>
      <c r="B113" s="69">
        <v>33280</v>
      </c>
      <c r="C113" s="69"/>
      <c r="D113" s="69"/>
    </row>
    <row r="114" customHeight="1" spans="1:4">
      <c r="A114" s="69"/>
      <c r="B114" s="69">
        <v>36601</v>
      </c>
      <c r="C114" s="69"/>
      <c r="D114" s="69"/>
    </row>
    <row r="115" customHeight="1" spans="1:3">
      <c r="A115" s="69"/>
      <c r="B115" s="69">
        <v>20905</v>
      </c>
      <c r="C115" s="69"/>
    </row>
    <row r="116" customHeight="1" spans="1:3">
      <c r="A116" s="69"/>
      <c r="B116" s="69">
        <v>12241</v>
      </c>
      <c r="C116" s="69"/>
    </row>
    <row r="117" customHeight="1" spans="1:3">
      <c r="A117" s="69"/>
      <c r="B117" s="69">
        <v>22247</v>
      </c>
      <c r="C117" s="69"/>
    </row>
    <row r="118" customHeight="1" spans="1:3">
      <c r="A118" s="69"/>
      <c r="B118" s="69">
        <v>26990</v>
      </c>
      <c r="C118" s="69"/>
    </row>
    <row r="119" customHeight="1" spans="1:3">
      <c r="A119" s="69"/>
      <c r="B119" s="69">
        <v>67235</v>
      </c>
      <c r="C119" s="69"/>
    </row>
    <row r="120" customHeight="1" spans="1:3">
      <c r="A120" s="69"/>
      <c r="B120" s="69">
        <v>68718</v>
      </c>
      <c r="C120" s="69"/>
    </row>
    <row r="121" customHeight="1" spans="1:3">
      <c r="A121" s="69"/>
      <c r="B121" s="69">
        <v>66130</v>
      </c>
      <c r="C121" s="69"/>
    </row>
    <row r="122" customHeight="1" spans="1:3">
      <c r="A122" s="69"/>
      <c r="B122" s="69">
        <v>68717</v>
      </c>
      <c r="C122" s="69"/>
    </row>
    <row r="123" customHeight="1" spans="1:3">
      <c r="A123" s="69"/>
      <c r="B123" s="69">
        <v>26039</v>
      </c>
      <c r="C123" s="69"/>
    </row>
    <row r="124" customHeight="1" spans="1:3">
      <c r="A124" s="69"/>
      <c r="B124" s="69">
        <v>33413</v>
      </c>
      <c r="C124" s="69"/>
    </row>
    <row r="125" customHeight="1" spans="1:3">
      <c r="A125" s="69"/>
      <c r="B125" s="69">
        <v>18857</v>
      </c>
      <c r="C125" s="69"/>
    </row>
    <row r="126" customHeight="1" spans="1:3">
      <c r="A126" s="69"/>
      <c r="B126" s="69">
        <v>33428</v>
      </c>
      <c r="C126" s="69"/>
    </row>
    <row r="127" customHeight="1" spans="1:3">
      <c r="A127" s="69"/>
      <c r="B127" s="69">
        <v>33423</v>
      </c>
      <c r="C127" s="69"/>
    </row>
    <row r="128" customHeight="1" spans="1:3">
      <c r="A128" s="69"/>
      <c r="B128" s="69">
        <v>33524</v>
      </c>
      <c r="C128" s="69"/>
    </row>
    <row r="129" customHeight="1" spans="2:3">
      <c r="B129" s="69">
        <v>12256</v>
      </c>
      <c r="C129" s="69"/>
    </row>
    <row r="130" customHeight="1" spans="2:3">
      <c r="B130" s="69">
        <v>68715</v>
      </c>
      <c r="C130" s="69"/>
    </row>
    <row r="131" customHeight="1" spans="2:3">
      <c r="B131" s="69">
        <v>57302</v>
      </c>
      <c r="C131" s="69"/>
    </row>
    <row r="132" customHeight="1" spans="2:3">
      <c r="B132" s="69">
        <v>33279</v>
      </c>
      <c r="C132" s="69"/>
    </row>
    <row r="133" customHeight="1" spans="2:3">
      <c r="B133" s="69">
        <v>33520</v>
      </c>
      <c r="C133" s="69"/>
    </row>
    <row r="134" customHeight="1" spans="2:3">
      <c r="B134" s="69">
        <v>79338</v>
      </c>
      <c r="C134" s="69"/>
    </row>
    <row r="135" customHeight="1" spans="2:3">
      <c r="B135" s="69">
        <v>22335</v>
      </c>
      <c r="C135" s="69"/>
    </row>
    <row r="136" customHeight="1" spans="2:3">
      <c r="B136" s="69">
        <v>33682</v>
      </c>
      <c r="C136" s="69"/>
    </row>
    <row r="137" customHeight="1" spans="2:3">
      <c r="B137" s="69">
        <v>85127</v>
      </c>
      <c r="C137" s="69"/>
    </row>
    <row r="138" customHeight="1" spans="2:3">
      <c r="B138" s="69">
        <v>22253</v>
      </c>
      <c r="C138" s="69"/>
    </row>
    <row r="139" customHeight="1" spans="2:3">
      <c r="B139" s="69">
        <v>33674</v>
      </c>
      <c r="C139" s="69"/>
    </row>
    <row r="140" customHeight="1" spans="2:3">
      <c r="B140" s="69">
        <v>54632</v>
      </c>
      <c r="C140" s="69"/>
    </row>
    <row r="141" customHeight="1" spans="2:3">
      <c r="B141" s="69">
        <v>33687</v>
      </c>
      <c r="C141" s="69"/>
    </row>
    <row r="142" customHeight="1" spans="2:3">
      <c r="B142" s="69">
        <v>33679</v>
      </c>
      <c r="C142" s="69"/>
    </row>
    <row r="143" customHeight="1" spans="2:3">
      <c r="B143" s="69">
        <v>29354</v>
      </c>
      <c r="C143" s="69"/>
    </row>
    <row r="144" customHeight="1" spans="2:3">
      <c r="B144" s="69">
        <v>29355</v>
      </c>
      <c r="C144" s="69"/>
    </row>
    <row r="145" customHeight="1" spans="2:3">
      <c r="B145" s="69">
        <v>52942</v>
      </c>
      <c r="C145" s="69"/>
    </row>
    <row r="146" customHeight="1" spans="2:3">
      <c r="B146" s="69">
        <v>52941</v>
      </c>
      <c r="C146" s="69"/>
    </row>
    <row r="147" customHeight="1" spans="2:3">
      <c r="B147" s="69">
        <v>22461</v>
      </c>
      <c r="C147" s="69"/>
    </row>
    <row r="148" customHeight="1" spans="2:3">
      <c r="B148" s="69">
        <v>33680</v>
      </c>
      <c r="C148" s="69"/>
    </row>
    <row r="149" customHeight="1" spans="2:3">
      <c r="B149" s="69">
        <v>68722</v>
      </c>
      <c r="C149" s="69"/>
    </row>
    <row r="150" customHeight="1" spans="2:3">
      <c r="B150" s="69">
        <v>68723</v>
      </c>
      <c r="C150" s="69"/>
    </row>
    <row r="151" customHeight="1" spans="2:3">
      <c r="B151" s="69">
        <v>33416</v>
      </c>
      <c r="C151" s="69"/>
    </row>
    <row r="152" customHeight="1" spans="2:3">
      <c r="B152" s="69">
        <v>33689</v>
      </c>
      <c r="C152" s="69"/>
    </row>
    <row r="153" customHeight="1" spans="2:3">
      <c r="B153" s="69">
        <v>33522</v>
      </c>
      <c r="C153" s="69"/>
    </row>
    <row r="154" customHeight="1" spans="2:3">
      <c r="B154" s="69">
        <v>53254</v>
      </c>
      <c r="C154" s="69"/>
    </row>
    <row r="155" customHeight="1" spans="2:3">
      <c r="B155" s="69">
        <v>33418</v>
      </c>
      <c r="C155" s="69"/>
    </row>
    <row r="156" customHeight="1" spans="2:3">
      <c r="B156" s="69">
        <v>22219</v>
      </c>
      <c r="C156" s="69"/>
    </row>
    <row r="157" customHeight="1" spans="2:3">
      <c r="B157" s="69">
        <v>68716</v>
      </c>
      <c r="C157" s="69"/>
    </row>
    <row r="158" customHeight="1" spans="2:3">
      <c r="B158" s="69">
        <v>33691</v>
      </c>
      <c r="C158" s="69"/>
    </row>
    <row r="159" customHeight="1" spans="2:3">
      <c r="B159" s="69">
        <v>53058</v>
      </c>
      <c r="C159" s="69"/>
    </row>
    <row r="160" customHeight="1" spans="2:3">
      <c r="B160" s="69">
        <v>18871</v>
      </c>
      <c r="C160" s="69"/>
    </row>
    <row r="161" customHeight="1" spans="2:3">
      <c r="B161" s="69">
        <v>23395</v>
      </c>
      <c r="C161" s="69"/>
    </row>
    <row r="162" customHeight="1" spans="2:3">
      <c r="B162" s="69">
        <v>20903</v>
      </c>
      <c r="C162" s="69"/>
    </row>
    <row r="163" customHeight="1" spans="2:3">
      <c r="B163" s="69">
        <v>75412</v>
      </c>
      <c r="C163" s="69"/>
    </row>
    <row r="164" customHeight="1" spans="2:3">
      <c r="B164" s="69">
        <v>22462</v>
      </c>
      <c r="C164" s="69"/>
    </row>
    <row r="165" customHeight="1" spans="2:3">
      <c r="B165" s="69">
        <v>68714</v>
      </c>
      <c r="C165" s="69"/>
    </row>
    <row r="166" customHeight="1" spans="2:3">
      <c r="B166" s="69">
        <v>62546</v>
      </c>
      <c r="C166" s="69"/>
    </row>
    <row r="167" customHeight="1" spans="2:3">
      <c r="B167" s="69">
        <v>22258</v>
      </c>
      <c r="C167" s="69"/>
    </row>
    <row r="168" customHeight="1" spans="2:3">
      <c r="B168" s="69">
        <v>20770</v>
      </c>
      <c r="C168" s="69"/>
    </row>
    <row r="169" customHeight="1" spans="2:3">
      <c r="B169" s="69">
        <v>85127</v>
      </c>
      <c r="C169" s="69"/>
    </row>
    <row r="170" customHeight="1" spans="2:3">
      <c r="B170" s="69">
        <v>66333</v>
      </c>
      <c r="C170" s="69"/>
    </row>
    <row r="171" customHeight="1" spans="2:3">
      <c r="B171" s="69">
        <v>67236</v>
      </c>
      <c r="C171" s="69"/>
    </row>
    <row r="172" customHeight="1" spans="2:3">
      <c r="B172" s="69">
        <v>12267</v>
      </c>
      <c r="C172" s="69"/>
    </row>
    <row r="173" customHeight="1" spans="2:3">
      <c r="B173" s="69">
        <v>12248</v>
      </c>
      <c r="C173" s="69"/>
    </row>
    <row r="174" customHeight="1" spans="2:3">
      <c r="B174" s="69">
        <v>12268</v>
      </c>
      <c r="C174" s="69"/>
    </row>
    <row r="175" customHeight="1" spans="2:3">
      <c r="B175" s="69">
        <v>51776</v>
      </c>
      <c r="C175" s="69"/>
    </row>
    <row r="176" customHeight="1" spans="2:3">
      <c r="B176" s="69">
        <v>52935</v>
      </c>
      <c r="C176" s="69"/>
    </row>
    <row r="177" customHeight="1" spans="2:3">
      <c r="B177" s="69">
        <v>18890</v>
      </c>
      <c r="C177" s="69"/>
    </row>
    <row r="178" customHeight="1" spans="2:3">
      <c r="B178" s="69">
        <v>58986</v>
      </c>
      <c r="C178" s="69"/>
    </row>
    <row r="179" customHeight="1" spans="2:3">
      <c r="B179" s="69">
        <v>35948</v>
      </c>
      <c r="C179" s="69"/>
    </row>
    <row r="180" customHeight="1" spans="2:3">
      <c r="B180" s="69">
        <v>16690</v>
      </c>
      <c r="C180" s="69"/>
    </row>
    <row r="181" customHeight="1" spans="2:3">
      <c r="B181" s="69">
        <v>23399</v>
      </c>
      <c r="C181" s="69"/>
    </row>
    <row r="182" customHeight="1" spans="2:3">
      <c r="B182" s="69">
        <v>68720</v>
      </c>
      <c r="C182" s="69"/>
    </row>
    <row r="183" customHeight="1" spans="2:3">
      <c r="B183" s="69">
        <v>68721</v>
      </c>
      <c r="C183" s="69"/>
    </row>
    <row r="184" customHeight="1" spans="2:3">
      <c r="B184" s="69">
        <v>12266</v>
      </c>
      <c r="C184" s="69"/>
    </row>
    <row r="185" customHeight="1" spans="2:3">
      <c r="B185" s="69">
        <v>26394</v>
      </c>
      <c r="C185" s="69"/>
    </row>
    <row r="186" customHeight="1" spans="2:3">
      <c r="B186" s="69">
        <v>33525</v>
      </c>
      <c r="C186" s="69"/>
    </row>
    <row r="187" customHeight="1" spans="2:3">
      <c r="B187" s="69">
        <v>13444</v>
      </c>
      <c r="C187" s="69"/>
    </row>
    <row r="188" customHeight="1" spans="2:3">
      <c r="B188" s="69">
        <v>16690</v>
      </c>
      <c r="C188" s="69"/>
    </row>
    <row r="189" customHeight="1" spans="2:3">
      <c r="B189" s="69">
        <v>13441</v>
      </c>
      <c r="C189" s="69"/>
    </row>
    <row r="190" customHeight="1" spans="2:3">
      <c r="B190" s="69">
        <v>51776</v>
      </c>
      <c r="C190" s="69"/>
    </row>
    <row r="191" customHeight="1" spans="2:3">
      <c r="B191" s="69">
        <v>18890</v>
      </c>
      <c r="C191" s="69"/>
    </row>
    <row r="192" customHeight="1" spans="2:3">
      <c r="B192" s="69">
        <v>26397</v>
      </c>
      <c r="C192" s="69"/>
    </row>
    <row r="193" customHeight="1" spans="2:3">
      <c r="B193" s="69">
        <v>20904</v>
      </c>
      <c r="C193" s="69"/>
    </row>
    <row r="194" customHeight="1" spans="2:3">
      <c r="B194" s="69">
        <v>12239</v>
      </c>
      <c r="C194" s="69"/>
    </row>
    <row r="195" customHeight="1" spans="2:3">
      <c r="B195" s="69">
        <v>22254</v>
      </c>
      <c r="C195" s="69"/>
    </row>
    <row r="196" customHeight="1" spans="2:3">
      <c r="B196" s="69">
        <v>19823</v>
      </c>
      <c r="C196" s="69"/>
    </row>
    <row r="197" customHeight="1" spans="2:3">
      <c r="B197" s="69">
        <v>68721</v>
      </c>
      <c r="C197" s="69"/>
    </row>
    <row r="198" customHeight="1" spans="2:3">
      <c r="B198" s="69">
        <v>68720</v>
      </c>
      <c r="C198" s="69"/>
    </row>
    <row r="199" customHeight="1" spans="2:3">
      <c r="B199" s="69">
        <v>19662</v>
      </c>
      <c r="C199" s="69"/>
    </row>
    <row r="200" customHeight="1" spans="2:3">
      <c r="B200" s="69">
        <v>23399</v>
      </c>
      <c r="C200" s="69"/>
    </row>
    <row r="201" customHeight="1" spans="2:3">
      <c r="B201" s="69">
        <v>23400</v>
      </c>
      <c r="C201" s="69"/>
    </row>
    <row r="202" customHeight="1" spans="2:3">
      <c r="B202" s="69">
        <v>58986</v>
      </c>
      <c r="C202" s="69"/>
    </row>
    <row r="203" customHeight="1" spans="2:3">
      <c r="B203" s="69">
        <v>35948</v>
      </c>
      <c r="C203" s="69"/>
    </row>
    <row r="204" customHeight="1" spans="2:3">
      <c r="B204" s="69">
        <v>51776</v>
      </c>
      <c r="C204" s="69"/>
    </row>
    <row r="205" customHeight="1" spans="2:3">
      <c r="B205" s="69">
        <v>23401</v>
      </c>
      <c r="C205" s="69"/>
    </row>
    <row r="206" customHeight="1" spans="2:3">
      <c r="B206" s="69">
        <v>52935</v>
      </c>
      <c r="C206" s="69"/>
    </row>
    <row r="207" customHeight="1" spans="2:3">
      <c r="B207" s="69">
        <v>51776</v>
      </c>
      <c r="C207" s="69"/>
    </row>
    <row r="208" customHeight="1" spans="2:3">
      <c r="B208" s="69">
        <v>12248</v>
      </c>
      <c r="C208" s="69"/>
    </row>
    <row r="209" customHeight="1" spans="2:3">
      <c r="B209" s="69">
        <v>35948</v>
      </c>
      <c r="C209" s="69"/>
    </row>
    <row r="210" customHeight="1" spans="2:3">
      <c r="B210" s="69">
        <v>18890</v>
      </c>
      <c r="C210" s="69"/>
    </row>
    <row r="211" customHeight="1" spans="2:3">
      <c r="B211" s="69">
        <v>26394</v>
      </c>
      <c r="C211" s="69"/>
    </row>
    <row r="212" customHeight="1" spans="2:3">
      <c r="B212" s="69">
        <v>26396</v>
      </c>
      <c r="C212" s="69"/>
    </row>
    <row r="213" customHeight="1" spans="2:3">
      <c r="B213" s="69">
        <v>12266</v>
      </c>
      <c r="C213" s="69"/>
    </row>
    <row r="214" customHeight="1" spans="2:3">
      <c r="B214" s="69">
        <v>33525</v>
      </c>
      <c r="C214" s="69"/>
    </row>
    <row r="215" customHeight="1" spans="2:3">
      <c r="B215" s="69">
        <v>68721</v>
      </c>
      <c r="C215" s="69"/>
    </row>
    <row r="216" customHeight="1" spans="2:3">
      <c r="B216" s="69">
        <v>26698</v>
      </c>
      <c r="C216" s="69"/>
    </row>
    <row r="217" customHeight="1" spans="2:3">
      <c r="B217" s="69">
        <v>26698</v>
      </c>
      <c r="C217" s="69"/>
    </row>
    <row r="218" customHeight="1" spans="2:3">
      <c r="B218" s="69">
        <v>26698</v>
      </c>
      <c r="C218" s="69"/>
    </row>
    <row r="219" customHeight="1" spans="2:3">
      <c r="B219" s="69">
        <v>18878</v>
      </c>
      <c r="C219" s="69"/>
    </row>
    <row r="220" customHeight="1" spans="2:3">
      <c r="B220" s="69">
        <v>27748</v>
      </c>
      <c r="C220" s="69"/>
    </row>
    <row r="221" customHeight="1" spans="2:3">
      <c r="B221" s="69">
        <v>18878</v>
      </c>
      <c r="C221" s="69"/>
    </row>
    <row r="222" customHeight="1" spans="2:3">
      <c r="B222" s="69">
        <v>27748</v>
      </c>
      <c r="C222" s="69"/>
    </row>
    <row r="223" customHeight="1" spans="2:3">
      <c r="B223" s="69">
        <v>53117</v>
      </c>
      <c r="C223" s="69"/>
    </row>
    <row r="224" customHeight="1" spans="2:3">
      <c r="B224" s="69">
        <v>53117</v>
      </c>
      <c r="C224" s="69"/>
    </row>
    <row r="225" customHeight="1" spans="2:3">
      <c r="B225" s="69">
        <v>71352</v>
      </c>
      <c r="C225" s="69"/>
    </row>
    <row r="226" customHeight="1" spans="2:3">
      <c r="B226" s="69">
        <v>59479</v>
      </c>
      <c r="C226" s="69"/>
    </row>
    <row r="227" customHeight="1" spans="2:3">
      <c r="B227" s="69">
        <v>59480</v>
      </c>
      <c r="C227" s="69"/>
    </row>
    <row r="228" customHeight="1" spans="2:3">
      <c r="B228" s="69">
        <v>23550</v>
      </c>
      <c r="C228" s="69"/>
    </row>
    <row r="229" customHeight="1" spans="2:3">
      <c r="B229" s="69">
        <v>23398</v>
      </c>
      <c r="C229" s="69"/>
    </row>
    <row r="230" customHeight="1" spans="2:3">
      <c r="B230" s="69">
        <v>33526</v>
      </c>
      <c r="C230" s="69"/>
    </row>
    <row r="231" customHeight="1" spans="2:3">
      <c r="B231" s="69">
        <v>68852</v>
      </c>
      <c r="C231" s="69"/>
    </row>
    <row r="232" customHeight="1" spans="2:3">
      <c r="B232" s="69">
        <v>68852</v>
      </c>
      <c r="C232" s="69"/>
    </row>
    <row r="233" customHeight="1" spans="2:3">
      <c r="B233" s="69"/>
      <c r="C233" s="69"/>
    </row>
    <row r="234" customHeight="1" spans="2:3">
      <c r="B234" s="69"/>
      <c r="C234" s="69"/>
    </row>
    <row r="235" customHeight="1" spans="2:3">
      <c r="B235" s="69"/>
      <c r="C235" s="69"/>
    </row>
    <row r="236" customHeight="1" spans="2:3">
      <c r="B236" s="69"/>
      <c r="C236" s="69"/>
    </row>
    <row r="237" customHeight="1" spans="2:3">
      <c r="B237" s="69"/>
      <c r="C237" s="69"/>
    </row>
    <row r="238" customHeight="1" spans="2:3">
      <c r="B238" s="69"/>
      <c r="C238" s="69"/>
    </row>
    <row r="239" customHeight="1" spans="2:3">
      <c r="B239" s="69"/>
      <c r="C239" s="69"/>
    </row>
    <row r="240" customHeight="1" spans="2:3">
      <c r="B240" s="69"/>
      <c r="C240" s="69"/>
    </row>
    <row r="241" customHeight="1" spans="2:3">
      <c r="B241" s="69"/>
      <c r="C241" s="69"/>
    </row>
    <row r="242" customHeight="1" spans="2:3">
      <c r="B242" s="69"/>
      <c r="C242" s="69"/>
    </row>
    <row r="243" customHeight="1" spans="2:3">
      <c r="B243" s="69"/>
      <c r="C243" s="69"/>
    </row>
    <row r="244" customHeight="1" spans="2:3">
      <c r="B244" s="69"/>
      <c r="C244" s="69"/>
    </row>
    <row r="245" customHeight="1" spans="2:3">
      <c r="B245" s="69"/>
      <c r="C245" s="69"/>
    </row>
    <row r="246" customHeight="1" spans="2:3">
      <c r="B246" s="69"/>
      <c r="C246" s="69"/>
    </row>
    <row r="247" customHeight="1" spans="2:3">
      <c r="B247" s="69"/>
      <c r="C247" s="69"/>
    </row>
    <row r="248" customHeight="1" spans="2:3">
      <c r="B248" s="69"/>
      <c r="C248" s="69"/>
    </row>
    <row r="249" customHeight="1" spans="2:3">
      <c r="B249" s="69"/>
      <c r="C249" s="69"/>
    </row>
    <row r="250" customHeight="1" spans="2:3">
      <c r="B250" s="69"/>
      <c r="C250" s="69"/>
    </row>
    <row r="251" customHeight="1" spans="2:3">
      <c r="B251" s="69"/>
      <c r="C251" s="69"/>
    </row>
    <row r="252" customHeight="1" spans="2:3">
      <c r="B252" s="69"/>
      <c r="C252" s="69"/>
    </row>
    <row r="253" customHeight="1" spans="2:3">
      <c r="B253" s="69"/>
      <c r="C253" s="69"/>
    </row>
    <row r="254" customHeight="1" spans="2:3">
      <c r="B254" s="69"/>
      <c r="C254" s="69"/>
    </row>
    <row r="255" customHeight="1" spans="2:3">
      <c r="B255" s="69"/>
      <c r="C255" s="69"/>
    </row>
    <row r="256" customHeight="1" spans="2:3">
      <c r="B256" s="69"/>
      <c r="C256" s="69"/>
    </row>
    <row r="257" customHeight="1" spans="2:3">
      <c r="B257" s="69"/>
      <c r="C257" s="69"/>
    </row>
    <row r="258" customHeight="1" spans="2:3">
      <c r="B258" s="69"/>
      <c r="C258" s="69"/>
    </row>
    <row r="259" customHeight="1" spans="2:3">
      <c r="B259" s="69"/>
      <c r="C259" s="69"/>
    </row>
    <row r="260" customHeight="1" spans="2:3">
      <c r="B260" s="69"/>
      <c r="C260" s="69"/>
    </row>
    <row r="261" customHeight="1" spans="2:3">
      <c r="B261" s="69"/>
      <c r="C261" s="69"/>
    </row>
    <row r="262" customHeight="1" spans="2:3">
      <c r="B262" s="69"/>
      <c r="C262" s="69"/>
    </row>
    <row r="263" customHeight="1" spans="2:3">
      <c r="B263" s="69"/>
      <c r="C263" s="69"/>
    </row>
    <row r="264" customHeight="1" spans="2:3">
      <c r="B264" s="69"/>
      <c r="C264" s="69"/>
    </row>
    <row r="265" customHeight="1" spans="2:3">
      <c r="B265" s="69"/>
      <c r="C265" s="69"/>
    </row>
    <row r="266" customHeight="1" spans="2:3">
      <c r="B266" s="69"/>
      <c r="C266" s="69"/>
    </row>
    <row r="267" customHeight="1" spans="2:3">
      <c r="B267" s="69"/>
      <c r="C267" s="69"/>
    </row>
    <row r="268" customHeight="1" spans="2:3">
      <c r="B268" s="69"/>
      <c r="C268" s="69"/>
    </row>
    <row r="269" customHeight="1" spans="2:3">
      <c r="B269" s="69"/>
      <c r="C269" s="69"/>
    </row>
    <row r="270" customHeight="1" spans="2:3">
      <c r="B270" s="69"/>
      <c r="C270" s="69"/>
    </row>
    <row r="271" customHeight="1" spans="2:3">
      <c r="B271" s="69"/>
      <c r="C271" s="69"/>
    </row>
    <row r="272" customHeight="1" spans="2:3">
      <c r="B272" s="69"/>
      <c r="C272" s="69"/>
    </row>
    <row r="273" customHeight="1" spans="2:3">
      <c r="B273" s="69"/>
      <c r="C273" s="69"/>
    </row>
    <row r="274" customHeight="1" spans="2:3">
      <c r="B274" s="69"/>
      <c r="C274" s="69"/>
    </row>
    <row r="275" customHeight="1" spans="2:3">
      <c r="B275" s="69"/>
      <c r="C275" s="69"/>
    </row>
    <row r="276" customHeight="1" spans="2:3">
      <c r="B276" s="69"/>
      <c r="C276" s="69"/>
    </row>
    <row r="277" customHeight="1" spans="2:3">
      <c r="B277" s="69"/>
      <c r="C277" s="69"/>
    </row>
    <row r="278" customHeight="1" spans="2:3">
      <c r="B278" s="69"/>
      <c r="C278" s="69"/>
    </row>
    <row r="279" customHeight="1" spans="2:3">
      <c r="B279" s="69"/>
      <c r="C279" s="69"/>
    </row>
    <row r="280" customHeight="1" spans="2:3">
      <c r="B280" s="69"/>
      <c r="C280" s="69"/>
    </row>
    <row r="281" customHeight="1" spans="2:3">
      <c r="B281" s="69"/>
      <c r="C281" s="69"/>
    </row>
    <row r="282" customHeight="1" spans="2:3">
      <c r="B282" s="69"/>
      <c r="C282" s="69"/>
    </row>
    <row r="283" customHeight="1" spans="2:3">
      <c r="B283" s="69"/>
      <c r="C283" s="69"/>
    </row>
    <row r="284" customHeight="1" spans="2:3">
      <c r="B284" s="69"/>
      <c r="C284" s="69"/>
    </row>
    <row r="285" customHeight="1" spans="2:3">
      <c r="B285" s="69"/>
      <c r="C285" s="69"/>
    </row>
    <row r="286" customHeight="1" spans="2:3">
      <c r="B286" s="69"/>
      <c r="C286" s="69"/>
    </row>
    <row r="287" customHeight="1" spans="2:3">
      <c r="B287" s="69"/>
      <c r="C287" s="69"/>
    </row>
    <row r="288" customHeight="1" spans="2:3">
      <c r="B288" s="69"/>
      <c r="C288" s="69"/>
    </row>
    <row r="289" customHeight="1" spans="2:3">
      <c r="B289" s="69"/>
      <c r="C289" s="69"/>
    </row>
    <row r="290" customHeight="1" spans="2:3">
      <c r="B290" s="69"/>
      <c r="C290" s="69"/>
    </row>
    <row r="291" customHeight="1" spans="2:3">
      <c r="B291" s="69"/>
      <c r="C291" s="69"/>
    </row>
    <row r="292" customHeight="1" spans="2:3">
      <c r="B292" s="69"/>
      <c r="C292" s="69"/>
    </row>
    <row r="293" customHeight="1" spans="2:3">
      <c r="B293" s="69"/>
      <c r="C293" s="69"/>
    </row>
    <row r="294" customHeight="1" spans="2:3">
      <c r="B294" s="69"/>
      <c r="C294" s="69"/>
    </row>
    <row r="295" customHeight="1" spans="2:3">
      <c r="B295" s="69"/>
      <c r="C295" s="69"/>
    </row>
    <row r="296" customHeight="1" spans="2:3">
      <c r="B296" s="69"/>
      <c r="C296" s="69"/>
    </row>
    <row r="297" customHeight="1" spans="2:3">
      <c r="B297" s="69"/>
      <c r="C297" s="69"/>
    </row>
    <row r="298" customHeight="1" spans="2:3">
      <c r="B298" s="69"/>
      <c r="C298" s="69"/>
    </row>
    <row r="299" customHeight="1" spans="2:3">
      <c r="B299" s="69"/>
      <c r="C299" s="69"/>
    </row>
    <row r="300" customHeight="1" spans="2:3">
      <c r="B300" s="69"/>
      <c r="C300" s="69"/>
    </row>
    <row r="301" customHeight="1" spans="2:3">
      <c r="B301" s="69"/>
      <c r="C301" s="69"/>
    </row>
    <row r="302" customHeight="1" spans="2:3">
      <c r="B302" s="69"/>
      <c r="C302" s="69"/>
    </row>
    <row r="303" customHeight="1" spans="2:3">
      <c r="B303" s="69"/>
      <c r="C303" s="69"/>
    </row>
    <row r="304" customHeight="1" spans="2:3">
      <c r="B304" s="69"/>
      <c r="C304" s="69"/>
    </row>
    <row r="305" customHeight="1" spans="2:3">
      <c r="B305" s="69"/>
      <c r="C305" s="69"/>
    </row>
    <row r="306" customHeight="1" spans="2:3">
      <c r="B306" s="69"/>
      <c r="C306" s="69"/>
    </row>
    <row r="307" customHeight="1" spans="2:3">
      <c r="B307" s="69"/>
      <c r="C307" s="69"/>
    </row>
    <row r="308" customHeight="1" spans="2:3">
      <c r="B308" s="69"/>
      <c r="C308" s="69"/>
    </row>
    <row r="309" customHeight="1" spans="2:3">
      <c r="B309" s="69"/>
      <c r="C309" s="69"/>
    </row>
    <row r="310" customHeight="1" spans="2:3">
      <c r="B310" s="69"/>
      <c r="C310" s="69"/>
    </row>
    <row r="311" customHeight="1" spans="2:3">
      <c r="B311" s="69"/>
      <c r="C311" s="69"/>
    </row>
    <row r="312" customHeight="1" spans="2:3">
      <c r="B312" s="69"/>
      <c r="C312" s="69"/>
    </row>
    <row r="313" customHeight="1" spans="2:3">
      <c r="B313" s="69"/>
      <c r="C313" s="69"/>
    </row>
    <row r="314" customHeight="1" spans="2:3">
      <c r="B314" s="69"/>
      <c r="C314" s="69"/>
    </row>
    <row r="315" customHeight="1" spans="2:3">
      <c r="B315" s="69"/>
      <c r="C315" s="69"/>
    </row>
    <row r="316" customHeight="1" spans="2:3">
      <c r="B316" s="69"/>
      <c r="C316" s="69"/>
    </row>
    <row r="317" customHeight="1" spans="2:3">
      <c r="B317" s="69"/>
      <c r="C317" s="69"/>
    </row>
    <row r="318" customHeight="1" spans="2:3">
      <c r="B318" s="69"/>
      <c r="C318" s="69"/>
    </row>
    <row r="319" customHeight="1" spans="2:3">
      <c r="B319" s="69"/>
      <c r="C319" s="69"/>
    </row>
    <row r="320" customHeight="1" spans="2:3">
      <c r="B320" s="69"/>
      <c r="C320" s="69"/>
    </row>
    <row r="321" customHeight="1" spans="2:3">
      <c r="B321" s="69"/>
      <c r="C321" s="69"/>
    </row>
    <row r="322" customHeight="1" spans="2:3">
      <c r="B322" s="69"/>
      <c r="C322" s="69"/>
    </row>
    <row r="323" customHeight="1" spans="2:3">
      <c r="B323" s="69"/>
      <c r="C323" s="69"/>
    </row>
    <row r="324" customHeight="1" spans="2:3">
      <c r="B324" s="69"/>
      <c r="C324" s="69"/>
    </row>
    <row r="325" customHeight="1" spans="2:3">
      <c r="B325" s="69"/>
      <c r="C325" s="69"/>
    </row>
    <row r="326" customHeight="1" spans="2:3">
      <c r="B326" s="69"/>
      <c r="C326" s="69"/>
    </row>
    <row r="327" customHeight="1" spans="2:3">
      <c r="B327" s="69"/>
      <c r="C327" s="69"/>
    </row>
    <row r="328" customHeight="1" spans="2:3">
      <c r="B328" s="69"/>
      <c r="C328" s="69"/>
    </row>
    <row r="329" customHeight="1" spans="2:3">
      <c r="B329" s="69"/>
      <c r="C329" s="69"/>
    </row>
    <row r="330" customHeight="1" spans="2:3">
      <c r="B330" s="69"/>
      <c r="C330" s="69"/>
    </row>
    <row r="331" customHeight="1" spans="2:3">
      <c r="B331" s="69"/>
      <c r="C331" s="69"/>
    </row>
    <row r="332" customHeight="1" spans="2:3">
      <c r="B332" s="69"/>
      <c r="C332" s="69"/>
    </row>
    <row r="333" customHeight="1" spans="2:3">
      <c r="B333" s="69"/>
      <c r="C333" s="69"/>
    </row>
    <row r="334" customHeight="1" spans="2:3">
      <c r="B334" s="69"/>
      <c r="C334" s="69"/>
    </row>
    <row r="335" customHeight="1" spans="2:3">
      <c r="B335" s="69"/>
      <c r="C335" s="69"/>
    </row>
    <row r="336" customHeight="1" spans="2:3">
      <c r="B336" s="69"/>
      <c r="C336" s="69"/>
    </row>
    <row r="337" customHeight="1" spans="2:3">
      <c r="B337" s="69"/>
      <c r="C337" s="69"/>
    </row>
    <row r="338" customHeight="1" spans="2:3">
      <c r="B338" s="69"/>
      <c r="C338" s="69"/>
    </row>
    <row r="339" customHeight="1" spans="2:3">
      <c r="B339" s="69"/>
      <c r="C339" s="69"/>
    </row>
    <row r="340" customHeight="1" spans="2:3">
      <c r="B340" s="69"/>
      <c r="C340" s="69"/>
    </row>
    <row r="341" customHeight="1" spans="2:3">
      <c r="B341" s="69"/>
      <c r="C341" s="69"/>
    </row>
    <row r="342" customHeight="1" spans="2:3">
      <c r="B342" s="69"/>
      <c r="C342" s="69"/>
    </row>
    <row r="343" customHeight="1" spans="2:3">
      <c r="B343" s="69"/>
      <c r="C343" s="69"/>
    </row>
    <row r="344" customHeight="1" spans="2:3">
      <c r="B344" s="69"/>
      <c r="C344" s="69"/>
    </row>
    <row r="345" customHeight="1" spans="2:3">
      <c r="B345" s="69"/>
      <c r="C345" s="69"/>
    </row>
    <row r="346" customHeight="1" spans="2:3">
      <c r="B346" s="69"/>
      <c r="C346" s="69"/>
    </row>
    <row r="347" customHeight="1" spans="2:3">
      <c r="B347" s="69"/>
      <c r="C347" s="69"/>
    </row>
    <row r="348" customHeight="1" spans="2:3">
      <c r="B348" s="69"/>
      <c r="C348" s="69"/>
    </row>
    <row r="349" customHeight="1" spans="2:3">
      <c r="B349" s="69"/>
      <c r="C349" s="69"/>
    </row>
    <row r="350" customHeight="1" spans="2:3">
      <c r="B350" s="69"/>
      <c r="C350" s="69"/>
    </row>
    <row r="351" customHeight="1" spans="2:3">
      <c r="B351" s="69"/>
      <c r="C351" s="69"/>
    </row>
    <row r="352" customHeight="1" spans="2:3">
      <c r="B352" s="69"/>
      <c r="C352" s="69"/>
    </row>
    <row r="353" customHeight="1" spans="2:3">
      <c r="B353" s="69"/>
      <c r="C353" s="69"/>
    </row>
    <row r="354" customHeight="1" spans="2:3">
      <c r="B354" s="69"/>
      <c r="C354" s="69"/>
    </row>
    <row r="355" customHeight="1" spans="2:3">
      <c r="B355" s="69"/>
      <c r="C355" s="69"/>
    </row>
    <row r="356" customHeight="1" spans="2:3">
      <c r="B356" s="69"/>
      <c r="C356" s="69"/>
    </row>
    <row r="357" customHeight="1" spans="2:3">
      <c r="B357" s="69"/>
      <c r="C357" s="69"/>
    </row>
    <row r="358" customHeight="1" spans="2:3">
      <c r="B358" s="69"/>
      <c r="C358" s="69"/>
    </row>
    <row r="359" customHeight="1" spans="2:3">
      <c r="B359" s="69"/>
      <c r="C359" s="69"/>
    </row>
    <row r="360" customHeight="1" spans="2:3">
      <c r="B360" s="69"/>
      <c r="C360" s="69"/>
    </row>
    <row r="361" customHeight="1" spans="2:3">
      <c r="B361" s="69"/>
      <c r="C361" s="69"/>
    </row>
    <row r="362" customHeight="1" spans="2:3">
      <c r="B362" s="69"/>
      <c r="C362" s="69"/>
    </row>
    <row r="363" customHeight="1" spans="2:3">
      <c r="B363" s="69"/>
      <c r="C363" s="69"/>
    </row>
    <row r="364" customHeight="1" spans="2:3">
      <c r="B364" s="69"/>
      <c r="C364" s="69"/>
    </row>
    <row r="365" customHeight="1" spans="2:3">
      <c r="B365" s="69"/>
      <c r="C365" s="69"/>
    </row>
    <row r="366" customHeight="1" spans="2:3">
      <c r="B366" s="69"/>
      <c r="C366" s="69"/>
    </row>
    <row r="367" customHeight="1" spans="2:3">
      <c r="B367" s="69"/>
      <c r="C367" s="69"/>
    </row>
    <row r="368" customHeight="1" spans="2:3">
      <c r="B368" s="69"/>
      <c r="C368" s="69"/>
    </row>
    <row r="369" customHeight="1" spans="2:3">
      <c r="B369" s="69"/>
      <c r="C369" s="69"/>
    </row>
    <row r="370" customHeight="1" spans="2:3">
      <c r="B370" s="69"/>
      <c r="C370" s="69"/>
    </row>
    <row r="371" customHeight="1" spans="2:3">
      <c r="B371" s="69"/>
      <c r="C371" s="69"/>
    </row>
    <row r="372" customHeight="1" spans="2:3">
      <c r="B372" s="69"/>
      <c r="C372" s="69"/>
    </row>
    <row r="373" customHeight="1" spans="2:3">
      <c r="B373" s="69"/>
      <c r="C373" s="69"/>
    </row>
    <row r="374" customHeight="1" spans="2:3">
      <c r="B374" s="69"/>
      <c r="C374" s="69"/>
    </row>
    <row r="375" customHeight="1" spans="2:3">
      <c r="B375" s="69"/>
      <c r="C375" s="69"/>
    </row>
    <row r="376" customHeight="1" spans="2:3">
      <c r="B376" s="69"/>
      <c r="C376" s="69"/>
    </row>
    <row r="377" customHeight="1" spans="2:3">
      <c r="B377" s="69"/>
      <c r="C377" s="69"/>
    </row>
    <row r="378" customHeight="1" spans="2:3">
      <c r="B378" s="69"/>
      <c r="C378" s="69"/>
    </row>
    <row r="379" customHeight="1" spans="2:3">
      <c r="B379" s="69"/>
      <c r="C379" s="69"/>
    </row>
    <row r="380" customHeight="1" spans="2:3">
      <c r="B380" s="69"/>
      <c r="C380" s="69"/>
    </row>
    <row r="381" customHeight="1" spans="2:3">
      <c r="B381" s="69"/>
      <c r="C381" s="69"/>
    </row>
    <row r="382" customHeight="1" spans="2:3">
      <c r="B382" s="69"/>
      <c r="C382" s="69"/>
    </row>
    <row r="383" customHeight="1" spans="2:3">
      <c r="B383" s="69"/>
      <c r="C383" s="69"/>
    </row>
    <row r="384" customHeight="1" spans="2:3">
      <c r="B384" s="69"/>
      <c r="C384" s="69"/>
    </row>
    <row r="385" customHeight="1" spans="2:3">
      <c r="B385" s="69"/>
      <c r="C385" s="69"/>
    </row>
    <row r="386" customHeight="1" spans="2:3">
      <c r="B386" s="69"/>
      <c r="C386" s="69"/>
    </row>
    <row r="387" customHeight="1" spans="2:3">
      <c r="B387" s="69"/>
      <c r="C387" s="69"/>
    </row>
    <row r="388" customHeight="1" spans="2:3">
      <c r="B388" s="69"/>
      <c r="C388" s="69"/>
    </row>
    <row r="389" customHeight="1" spans="2:3">
      <c r="B389" s="69"/>
      <c r="C389" s="69"/>
    </row>
    <row r="390" customHeight="1" spans="2:3">
      <c r="B390" s="69"/>
      <c r="C390" s="69"/>
    </row>
    <row r="391" customHeight="1" spans="2:3">
      <c r="B391" s="69"/>
      <c r="C391" s="69"/>
    </row>
    <row r="392" customHeight="1" spans="2:3">
      <c r="B392" s="69"/>
      <c r="C392" s="69"/>
    </row>
    <row r="393" customHeight="1" spans="2:3">
      <c r="B393" s="69"/>
      <c r="C393" s="69"/>
    </row>
    <row r="394" customHeight="1" spans="2:3">
      <c r="B394" s="69"/>
      <c r="C394" s="69"/>
    </row>
    <row r="395" customHeight="1" spans="2:3">
      <c r="B395" s="69"/>
      <c r="C395" s="69"/>
    </row>
    <row r="396" customHeight="1" spans="2:3">
      <c r="B396" s="69"/>
      <c r="C396" s="69"/>
    </row>
    <row r="397" customHeight="1" spans="2:3">
      <c r="B397" s="69"/>
      <c r="C397" s="69"/>
    </row>
    <row r="398" customHeight="1" spans="2:3">
      <c r="B398" s="69"/>
      <c r="C398" s="69"/>
    </row>
    <row r="399" customHeight="1" spans="2:3">
      <c r="B399" s="69"/>
      <c r="C399" s="69"/>
    </row>
    <row r="400" customHeight="1" spans="2:3">
      <c r="B400" s="69"/>
      <c r="C400" s="69"/>
    </row>
    <row r="401" customHeight="1" spans="2:3">
      <c r="B401" s="69"/>
      <c r="C401" s="69"/>
    </row>
    <row r="402" customHeight="1" spans="2:3">
      <c r="B402" s="69"/>
      <c r="C402" s="69"/>
    </row>
    <row r="403" customHeight="1" spans="2:3">
      <c r="B403" s="69"/>
      <c r="C403" s="69"/>
    </row>
    <row r="404" customHeight="1" spans="2:3">
      <c r="B404" s="69"/>
      <c r="C404" s="69"/>
    </row>
    <row r="405" customHeight="1" spans="2:3">
      <c r="B405" s="69"/>
      <c r="C405" s="69"/>
    </row>
    <row r="406" customHeight="1" spans="2:3">
      <c r="B406" s="69"/>
      <c r="C406" s="69"/>
    </row>
    <row r="407" customHeight="1" spans="2:3">
      <c r="B407" s="69"/>
      <c r="C407" s="69"/>
    </row>
    <row r="408" customHeight="1" spans="2:3">
      <c r="B408" s="69"/>
      <c r="C408" s="69"/>
    </row>
    <row r="409" customHeight="1" spans="2:3">
      <c r="B409" s="69"/>
      <c r="C409" s="69"/>
    </row>
    <row r="410" customHeight="1" spans="2:3">
      <c r="B410" s="69"/>
      <c r="C410" s="69"/>
    </row>
    <row r="411" customHeight="1" spans="2:3">
      <c r="B411" s="69"/>
      <c r="C411" s="69"/>
    </row>
    <row r="412" customHeight="1" spans="2:3">
      <c r="B412" s="69"/>
      <c r="C412" s="69"/>
    </row>
    <row r="413" customHeight="1" spans="2:3">
      <c r="B413" s="69"/>
      <c r="C413" s="69"/>
    </row>
    <row r="414" customHeight="1" spans="2:3">
      <c r="B414" s="69"/>
      <c r="C414" s="69"/>
    </row>
    <row r="415" customHeight="1" spans="2:3">
      <c r="B415" s="69"/>
      <c r="C415" s="69"/>
    </row>
    <row r="416" customHeight="1" spans="2:3">
      <c r="B416" s="69"/>
      <c r="C416" s="69"/>
    </row>
    <row r="417" customHeight="1" spans="2:3">
      <c r="B417" s="69"/>
      <c r="C417" s="69"/>
    </row>
    <row r="418" customHeight="1" spans="2:3">
      <c r="B418" s="69"/>
      <c r="C418" s="69"/>
    </row>
    <row r="419" customHeight="1" spans="2:3">
      <c r="B419" s="69"/>
      <c r="C419" s="69"/>
    </row>
    <row r="420" customHeight="1" spans="2:3">
      <c r="B420" s="69"/>
      <c r="C420" s="69"/>
    </row>
    <row r="421" customHeight="1" spans="2:3">
      <c r="B421" s="69"/>
      <c r="C421" s="69"/>
    </row>
    <row r="422" customHeight="1" spans="2:3">
      <c r="B422" s="69"/>
      <c r="C422" s="69"/>
    </row>
    <row r="423" customHeight="1" spans="2:3">
      <c r="B423" s="69"/>
      <c r="C423" s="69"/>
    </row>
    <row r="424" customHeight="1" spans="2:3">
      <c r="B424" s="69"/>
      <c r="C424" s="69"/>
    </row>
    <row r="425" customHeight="1" spans="2:3">
      <c r="B425" s="69"/>
      <c r="C425" s="69"/>
    </row>
    <row r="426" customHeight="1" spans="2:3">
      <c r="B426" s="69"/>
      <c r="C426" s="69"/>
    </row>
    <row r="427" customHeight="1" spans="2:3">
      <c r="B427" s="69"/>
      <c r="C427" s="69"/>
    </row>
    <row r="428" customHeight="1" spans="2:3">
      <c r="B428" s="69"/>
      <c r="C428" s="69"/>
    </row>
    <row r="429" customHeight="1" spans="2:3">
      <c r="B429" s="69"/>
      <c r="C429" s="6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4"/>
  <sheetViews>
    <sheetView topLeftCell="A161" workbookViewId="0">
      <selection activeCell="A2" sqref="A2:B179"/>
    </sheetView>
  </sheetViews>
  <sheetFormatPr defaultColWidth="8.8" defaultRowHeight="15.75" outlineLevelCol="1"/>
  <sheetData>
    <row r="1" spans="1:2">
      <c r="A1" s="88" t="s">
        <v>324</v>
      </c>
      <c r="B1" s="90" t="s">
        <v>326</v>
      </c>
    </row>
    <row r="2" spans="1:2">
      <c r="A2" s="59">
        <v>12248</v>
      </c>
      <c r="B2" s="91">
        <v>2</v>
      </c>
    </row>
    <row r="3" spans="1:2">
      <c r="A3" s="59">
        <v>18890</v>
      </c>
      <c r="B3" s="91">
        <v>3</v>
      </c>
    </row>
    <row r="4" spans="1:2">
      <c r="A4" s="59">
        <v>51776</v>
      </c>
      <c r="B4" s="91">
        <v>4</v>
      </c>
    </row>
    <row r="5" spans="1:2">
      <c r="A5" s="59">
        <v>52935</v>
      </c>
      <c r="B5" s="91">
        <v>2</v>
      </c>
    </row>
    <row r="6" spans="1:2">
      <c r="A6" s="59">
        <v>35948</v>
      </c>
      <c r="B6" s="91">
        <v>3</v>
      </c>
    </row>
    <row r="7" spans="1:2">
      <c r="A7" s="59">
        <v>74081</v>
      </c>
      <c r="B7" s="91">
        <v>1</v>
      </c>
    </row>
    <row r="8" spans="1:2">
      <c r="A8" s="59">
        <v>19712</v>
      </c>
      <c r="B8" s="91">
        <v>0</v>
      </c>
    </row>
    <row r="9" spans="1:2">
      <c r="A9" s="59">
        <v>19662</v>
      </c>
      <c r="B9" s="91">
        <v>1</v>
      </c>
    </row>
    <row r="10" spans="1:2">
      <c r="A10" s="59">
        <v>68720</v>
      </c>
      <c r="B10" s="91">
        <v>2</v>
      </c>
    </row>
    <row r="11" spans="1:2">
      <c r="A11" s="59">
        <v>68721</v>
      </c>
      <c r="B11" s="91">
        <v>3</v>
      </c>
    </row>
    <row r="12" spans="1:2">
      <c r="A12" s="59">
        <v>13441</v>
      </c>
      <c r="B12" s="91">
        <v>1</v>
      </c>
    </row>
    <row r="13" spans="1:2">
      <c r="A13" s="59">
        <v>26039</v>
      </c>
      <c r="B13" s="91">
        <v>2</v>
      </c>
    </row>
    <row r="14" spans="1:2">
      <c r="A14" s="59">
        <v>22520</v>
      </c>
      <c r="B14" s="91">
        <v>0</v>
      </c>
    </row>
    <row r="15" spans="1:2">
      <c r="A15" s="59">
        <v>23399</v>
      </c>
      <c r="B15" s="91">
        <v>2</v>
      </c>
    </row>
    <row r="16" spans="1:2">
      <c r="A16" s="59">
        <v>33525</v>
      </c>
      <c r="B16" s="91">
        <v>2</v>
      </c>
    </row>
    <row r="17" spans="1:2">
      <c r="A17" s="59">
        <v>23400</v>
      </c>
      <c r="B17" s="91">
        <v>1</v>
      </c>
    </row>
    <row r="18" spans="1:2">
      <c r="A18" s="59">
        <v>13444</v>
      </c>
      <c r="B18" s="91">
        <v>1</v>
      </c>
    </row>
    <row r="19" spans="1:2">
      <c r="A19" s="59">
        <v>21634</v>
      </c>
      <c r="B19" s="91">
        <v>0</v>
      </c>
    </row>
    <row r="20" spans="1:2">
      <c r="A20" s="59">
        <v>19391</v>
      </c>
      <c r="B20" s="91">
        <v>0</v>
      </c>
    </row>
    <row r="21" spans="1:2">
      <c r="A21" s="59">
        <v>16690</v>
      </c>
      <c r="B21" s="91">
        <v>2</v>
      </c>
    </row>
    <row r="22" spans="1:2">
      <c r="A22" s="59">
        <v>12268</v>
      </c>
      <c r="B22" s="91">
        <v>1</v>
      </c>
    </row>
    <row r="23" spans="1:2">
      <c r="A23" s="59">
        <v>23479</v>
      </c>
      <c r="B23" s="91">
        <v>0</v>
      </c>
    </row>
    <row r="24" spans="1:2">
      <c r="A24" s="59">
        <v>12239</v>
      </c>
      <c r="B24" s="91">
        <v>1</v>
      </c>
    </row>
    <row r="25" spans="1:2">
      <c r="A25" s="59">
        <v>12266</v>
      </c>
      <c r="B25" s="91">
        <v>2</v>
      </c>
    </row>
    <row r="26" spans="1:2">
      <c r="A26" s="59">
        <v>23398</v>
      </c>
      <c r="B26" s="91">
        <v>1</v>
      </c>
    </row>
    <row r="27" spans="1:2">
      <c r="A27" s="59">
        <v>37604</v>
      </c>
      <c r="B27" s="91">
        <v>0</v>
      </c>
    </row>
    <row r="28" spans="1:2">
      <c r="A28" s="56">
        <v>23401</v>
      </c>
      <c r="B28" s="91">
        <v>1</v>
      </c>
    </row>
    <row r="29" spans="1:2">
      <c r="A29" s="56">
        <v>19823</v>
      </c>
      <c r="B29" s="91">
        <v>1</v>
      </c>
    </row>
    <row r="30" spans="1:2">
      <c r="A30" s="56">
        <v>22254</v>
      </c>
      <c r="B30" s="91">
        <v>1</v>
      </c>
    </row>
    <row r="31" spans="1:2">
      <c r="A31" s="56">
        <v>39288</v>
      </c>
      <c r="B31" s="91">
        <v>0</v>
      </c>
    </row>
    <row r="32" spans="1:2">
      <c r="A32" s="56">
        <v>39289</v>
      </c>
      <c r="B32" s="91">
        <v>0</v>
      </c>
    </row>
    <row r="33" spans="1:2">
      <c r="A33" s="59">
        <v>67234</v>
      </c>
      <c r="B33" s="91">
        <v>1</v>
      </c>
    </row>
    <row r="34" spans="1:2">
      <c r="A34" s="59">
        <v>22253</v>
      </c>
      <c r="B34" s="91">
        <v>2</v>
      </c>
    </row>
    <row r="35" spans="1:2">
      <c r="A35" s="59">
        <v>12241</v>
      </c>
      <c r="B35" s="91">
        <v>2</v>
      </c>
    </row>
    <row r="36" spans="1:2">
      <c r="A36" s="59">
        <v>12256</v>
      </c>
      <c r="B36" s="91">
        <v>2</v>
      </c>
    </row>
    <row r="37" spans="1:2">
      <c r="A37" s="59">
        <v>20770</v>
      </c>
      <c r="B37" s="91">
        <v>2</v>
      </c>
    </row>
    <row r="38" spans="1:2">
      <c r="A38" s="59">
        <v>12267</v>
      </c>
      <c r="B38" s="91">
        <v>2</v>
      </c>
    </row>
    <row r="39" spans="1:2">
      <c r="A39" s="59">
        <v>18871</v>
      </c>
      <c r="B39" s="91">
        <v>2</v>
      </c>
    </row>
    <row r="40" spans="1:2">
      <c r="A40" s="59">
        <v>22219</v>
      </c>
      <c r="B40" s="91">
        <v>2</v>
      </c>
    </row>
    <row r="41" spans="1:2">
      <c r="A41" s="59">
        <v>20905</v>
      </c>
      <c r="B41" s="92">
        <v>2</v>
      </c>
    </row>
    <row r="42" spans="1:2">
      <c r="A42" s="59">
        <v>30012</v>
      </c>
      <c r="B42" s="92">
        <v>1</v>
      </c>
    </row>
    <row r="43" spans="1:2">
      <c r="A43" s="59">
        <v>26986</v>
      </c>
      <c r="B43" s="92">
        <v>2</v>
      </c>
    </row>
    <row r="44" spans="1:2">
      <c r="A44" s="59">
        <v>22176</v>
      </c>
      <c r="B44" s="92">
        <v>2</v>
      </c>
    </row>
    <row r="45" spans="1:2">
      <c r="A45" s="59">
        <v>22247</v>
      </c>
      <c r="B45" s="92">
        <v>1</v>
      </c>
    </row>
    <row r="46" spans="1:2">
      <c r="A46" s="59">
        <v>36601</v>
      </c>
      <c r="B46" s="92">
        <v>1</v>
      </c>
    </row>
    <row r="47" spans="1:2">
      <c r="A47" s="59">
        <v>26990</v>
      </c>
      <c r="B47" s="92">
        <v>2</v>
      </c>
    </row>
    <row r="48" spans="1:2">
      <c r="A48" s="59">
        <v>33279</v>
      </c>
      <c r="B48" s="92">
        <v>3</v>
      </c>
    </row>
    <row r="49" spans="1:2">
      <c r="A49" s="59">
        <v>29353</v>
      </c>
      <c r="B49" s="92">
        <v>0</v>
      </c>
    </row>
    <row r="50" spans="1:2">
      <c r="A50" s="59">
        <v>29359</v>
      </c>
      <c r="B50" s="92">
        <v>0</v>
      </c>
    </row>
    <row r="51" spans="1:2">
      <c r="A51" s="59">
        <v>29354</v>
      </c>
      <c r="B51" s="92">
        <v>2</v>
      </c>
    </row>
    <row r="52" spans="1:2">
      <c r="A52" s="59">
        <v>29355</v>
      </c>
      <c r="B52" s="92">
        <v>2</v>
      </c>
    </row>
    <row r="53" spans="1:2">
      <c r="A53" s="59">
        <v>33422</v>
      </c>
      <c r="B53" s="92">
        <v>2</v>
      </c>
    </row>
    <row r="54" spans="1:2">
      <c r="A54" s="59">
        <v>33420</v>
      </c>
      <c r="B54" s="92">
        <v>2</v>
      </c>
    </row>
    <row r="55" spans="1:2">
      <c r="A55" s="59">
        <v>33429</v>
      </c>
      <c r="B55" s="92">
        <v>0</v>
      </c>
    </row>
    <row r="56" spans="1:2">
      <c r="A56" s="59">
        <v>33421</v>
      </c>
      <c r="B56" s="92">
        <v>0</v>
      </c>
    </row>
    <row r="57" spans="1:2">
      <c r="A57" s="59">
        <v>33428</v>
      </c>
      <c r="B57" s="92">
        <v>2</v>
      </c>
    </row>
    <row r="58" spans="1:2">
      <c r="A58" s="59">
        <v>33423</v>
      </c>
      <c r="B58" s="92">
        <v>2</v>
      </c>
    </row>
    <row r="59" spans="1:2">
      <c r="A59" s="59">
        <v>33427</v>
      </c>
      <c r="B59" s="92">
        <v>2</v>
      </c>
    </row>
    <row r="60" spans="1:2">
      <c r="A60" s="59">
        <v>33424</v>
      </c>
      <c r="B60" s="92">
        <v>2</v>
      </c>
    </row>
    <row r="61" spans="1:2">
      <c r="A61" s="59">
        <v>33513</v>
      </c>
      <c r="B61" s="92">
        <v>2</v>
      </c>
    </row>
    <row r="62" spans="1:2">
      <c r="A62" s="59">
        <v>33678</v>
      </c>
      <c r="B62" s="92">
        <v>0</v>
      </c>
    </row>
    <row r="63" spans="1:2">
      <c r="A63" s="59">
        <v>33676</v>
      </c>
      <c r="B63" s="92">
        <v>0</v>
      </c>
    </row>
    <row r="64" spans="1:2">
      <c r="A64" s="59">
        <v>52339</v>
      </c>
      <c r="B64" s="92">
        <v>1</v>
      </c>
    </row>
    <row r="65" spans="1:2">
      <c r="A65" s="59">
        <v>52938</v>
      </c>
      <c r="B65" s="92">
        <v>1</v>
      </c>
    </row>
    <row r="66" spans="1:2">
      <c r="A66" s="59">
        <v>18856</v>
      </c>
      <c r="B66" s="92">
        <v>0</v>
      </c>
    </row>
    <row r="67" spans="1:2">
      <c r="A67" s="59">
        <v>20915</v>
      </c>
      <c r="B67" s="92">
        <v>1</v>
      </c>
    </row>
    <row r="68" spans="1:2">
      <c r="A68" s="59">
        <v>33690</v>
      </c>
      <c r="B68" s="92">
        <v>0</v>
      </c>
    </row>
    <row r="69" spans="1:2">
      <c r="A69" s="59">
        <v>33527</v>
      </c>
      <c r="B69" s="92">
        <v>0</v>
      </c>
    </row>
    <row r="70" spans="1:2">
      <c r="A70" s="59">
        <v>33686</v>
      </c>
      <c r="B70" s="92">
        <v>0</v>
      </c>
    </row>
    <row r="71" spans="1:2">
      <c r="A71" s="59">
        <v>33529</v>
      </c>
      <c r="B71" s="92">
        <v>0</v>
      </c>
    </row>
    <row r="72" spans="1:2">
      <c r="A72" s="59">
        <v>33674</v>
      </c>
      <c r="B72" s="92">
        <v>2</v>
      </c>
    </row>
    <row r="73" spans="1:2">
      <c r="A73" s="59">
        <v>33680</v>
      </c>
      <c r="B73" s="92">
        <v>2</v>
      </c>
    </row>
    <row r="74" spans="1:2">
      <c r="A74" s="59">
        <v>33682</v>
      </c>
      <c r="B74" s="92">
        <v>2</v>
      </c>
    </row>
    <row r="75" spans="1:2">
      <c r="A75" s="59">
        <v>52942</v>
      </c>
      <c r="B75" s="92">
        <v>2</v>
      </c>
    </row>
    <row r="76" spans="1:2">
      <c r="A76" s="59">
        <v>52941</v>
      </c>
      <c r="B76" s="92">
        <v>2</v>
      </c>
    </row>
    <row r="77" spans="1:2">
      <c r="A77" s="59">
        <v>52943</v>
      </c>
      <c r="B77" s="92">
        <v>2</v>
      </c>
    </row>
    <row r="78" spans="1:2">
      <c r="A78" s="59">
        <v>52944</v>
      </c>
      <c r="B78" s="92">
        <v>2</v>
      </c>
    </row>
    <row r="79" spans="1:2">
      <c r="A79" s="59">
        <v>33413</v>
      </c>
      <c r="B79" s="92">
        <v>2</v>
      </c>
    </row>
    <row r="80" spans="1:2">
      <c r="A80" s="59">
        <v>18857</v>
      </c>
      <c r="B80" s="92">
        <v>2</v>
      </c>
    </row>
    <row r="81" spans="1:2">
      <c r="A81" s="59">
        <v>33418</v>
      </c>
      <c r="B81" s="92">
        <v>2</v>
      </c>
    </row>
    <row r="82" spans="1:2">
      <c r="A82" s="59">
        <v>33416</v>
      </c>
      <c r="B82" s="92">
        <v>3</v>
      </c>
    </row>
    <row r="83" spans="1:2">
      <c r="A83" s="59">
        <v>33419</v>
      </c>
      <c r="B83" s="92">
        <v>0</v>
      </c>
    </row>
    <row r="84" spans="1:2">
      <c r="A84" s="59">
        <v>33425</v>
      </c>
      <c r="B84" s="92">
        <v>0</v>
      </c>
    </row>
    <row r="85" spans="1:2">
      <c r="A85" s="59">
        <v>33430</v>
      </c>
      <c r="B85" s="92">
        <v>2</v>
      </c>
    </row>
    <row r="86" spans="1:2">
      <c r="A86" s="59">
        <v>33512</v>
      </c>
      <c r="B86" s="92">
        <v>2</v>
      </c>
    </row>
    <row r="87" spans="1:2">
      <c r="A87" s="59">
        <v>33511</v>
      </c>
      <c r="B87" s="92">
        <v>2</v>
      </c>
    </row>
    <row r="88" spans="1:2">
      <c r="A88" s="59">
        <v>33514</v>
      </c>
      <c r="B88" s="92">
        <v>0</v>
      </c>
    </row>
    <row r="89" spans="1:2">
      <c r="A89" s="59">
        <v>18878</v>
      </c>
      <c r="B89" s="92">
        <v>2</v>
      </c>
    </row>
    <row r="90" spans="1:2">
      <c r="A90" s="59">
        <v>27748</v>
      </c>
      <c r="B90" s="92">
        <v>2</v>
      </c>
    </row>
    <row r="91" spans="1:2">
      <c r="A91" s="59">
        <v>20903</v>
      </c>
      <c r="B91" s="92">
        <v>2</v>
      </c>
    </row>
    <row r="92" spans="1:2">
      <c r="A92" s="59">
        <v>22461</v>
      </c>
      <c r="B92" s="92">
        <v>2</v>
      </c>
    </row>
    <row r="93" spans="1:2">
      <c r="A93" s="59">
        <v>33517</v>
      </c>
      <c r="B93" s="92">
        <v>0</v>
      </c>
    </row>
    <row r="94" spans="1:2">
      <c r="A94" s="59">
        <v>33526</v>
      </c>
      <c r="B94" s="92">
        <v>1</v>
      </c>
    </row>
    <row r="95" spans="1:2">
      <c r="A95" s="59">
        <v>26396</v>
      </c>
      <c r="B95" s="92">
        <v>1</v>
      </c>
    </row>
    <row r="96" spans="1:2">
      <c r="A96" s="59">
        <v>26394</v>
      </c>
      <c r="B96" s="92">
        <v>2</v>
      </c>
    </row>
    <row r="97" spans="1:2">
      <c r="A97" s="59">
        <v>71811</v>
      </c>
      <c r="B97" s="92">
        <v>0</v>
      </c>
    </row>
    <row r="98" spans="1:2">
      <c r="A98" s="59">
        <v>22340</v>
      </c>
      <c r="B98" s="92">
        <v>0</v>
      </c>
    </row>
    <row r="99" spans="1:2">
      <c r="A99" s="59">
        <v>22335</v>
      </c>
      <c r="B99" s="92">
        <v>2</v>
      </c>
    </row>
    <row r="100" spans="1:2">
      <c r="A100" s="59">
        <v>20857</v>
      </c>
      <c r="B100" s="92">
        <v>0</v>
      </c>
    </row>
    <row r="101" spans="1:2">
      <c r="A101" s="59">
        <v>20858</v>
      </c>
      <c r="B101" s="92">
        <v>0</v>
      </c>
    </row>
    <row r="102" spans="1:2">
      <c r="A102" s="59">
        <v>33692</v>
      </c>
      <c r="B102" s="92">
        <v>0</v>
      </c>
    </row>
    <row r="103" spans="1:2">
      <c r="A103" s="59">
        <v>33688</v>
      </c>
      <c r="B103" s="92">
        <v>0</v>
      </c>
    </row>
    <row r="104" spans="1:2">
      <c r="A104" s="59">
        <v>22169</v>
      </c>
      <c r="B104" s="92">
        <v>0</v>
      </c>
    </row>
    <row r="105" spans="1:2">
      <c r="A105" s="59">
        <v>22209</v>
      </c>
      <c r="B105" s="92">
        <v>0</v>
      </c>
    </row>
    <row r="106" spans="1:2">
      <c r="A106" s="59">
        <v>26041</v>
      </c>
      <c r="B106" s="92">
        <v>0</v>
      </c>
    </row>
    <row r="107" spans="1:2">
      <c r="A107" s="59">
        <v>26042</v>
      </c>
      <c r="B107" s="92">
        <v>0</v>
      </c>
    </row>
    <row r="108" spans="1:2">
      <c r="A108" s="59">
        <v>26040</v>
      </c>
      <c r="B108" s="92">
        <v>0</v>
      </c>
    </row>
    <row r="109" spans="1:2">
      <c r="A109" s="59">
        <v>67236</v>
      </c>
      <c r="B109" s="92">
        <v>2</v>
      </c>
    </row>
    <row r="110" spans="1:2">
      <c r="A110" s="59">
        <v>66333</v>
      </c>
      <c r="B110" s="92">
        <v>2</v>
      </c>
    </row>
    <row r="111" spans="1:2">
      <c r="A111" s="59">
        <v>66334</v>
      </c>
      <c r="B111" s="92">
        <v>1</v>
      </c>
    </row>
    <row r="112" spans="1:2">
      <c r="A112" s="59">
        <v>66332</v>
      </c>
      <c r="B112" s="92">
        <v>2</v>
      </c>
    </row>
    <row r="113" spans="1:2">
      <c r="A113" s="59">
        <v>59479</v>
      </c>
      <c r="B113" s="92">
        <v>1</v>
      </c>
    </row>
    <row r="114" spans="1:2">
      <c r="A114" s="59">
        <v>59480</v>
      </c>
      <c r="B114" s="92">
        <v>1</v>
      </c>
    </row>
    <row r="115" spans="1:2">
      <c r="A115" s="59">
        <v>19824</v>
      </c>
      <c r="B115" s="92">
        <v>0</v>
      </c>
    </row>
    <row r="116" spans="1:2">
      <c r="A116" s="59">
        <v>23480</v>
      </c>
      <c r="B116" s="92">
        <v>0</v>
      </c>
    </row>
    <row r="117" spans="1:2">
      <c r="A117" s="59">
        <v>33530</v>
      </c>
      <c r="B117" s="92">
        <v>0</v>
      </c>
    </row>
    <row r="118" spans="1:2">
      <c r="A118" s="59">
        <v>33412</v>
      </c>
      <c r="B118" s="92">
        <v>0</v>
      </c>
    </row>
    <row r="119" spans="1:2">
      <c r="A119" s="59">
        <v>33414</v>
      </c>
      <c r="B119" s="92">
        <v>0</v>
      </c>
    </row>
    <row r="120" spans="1:2">
      <c r="A120" s="59">
        <v>33426</v>
      </c>
      <c r="B120" s="92">
        <v>0</v>
      </c>
    </row>
    <row r="121" spans="1:2">
      <c r="A121" s="59">
        <v>33417</v>
      </c>
      <c r="B121" s="92">
        <v>2</v>
      </c>
    </row>
    <row r="122" spans="1:2">
      <c r="A122" s="59">
        <v>33515</v>
      </c>
      <c r="B122" s="92">
        <v>1</v>
      </c>
    </row>
    <row r="123" spans="1:2">
      <c r="A123" s="59">
        <v>33523</v>
      </c>
      <c r="B123" s="92">
        <v>0</v>
      </c>
    </row>
    <row r="124" spans="1:2">
      <c r="A124" s="59">
        <v>68852</v>
      </c>
      <c r="B124" s="92">
        <v>2</v>
      </c>
    </row>
    <row r="125" spans="1:2">
      <c r="A125" s="59">
        <v>68722</v>
      </c>
      <c r="B125" s="92">
        <v>2</v>
      </c>
    </row>
    <row r="126" spans="1:2">
      <c r="A126" s="59">
        <v>68723</v>
      </c>
      <c r="B126" s="92">
        <v>2</v>
      </c>
    </row>
    <row r="127" spans="1:2">
      <c r="A127" s="59">
        <v>22258</v>
      </c>
      <c r="B127" s="92">
        <v>2</v>
      </c>
    </row>
    <row r="128" spans="1:2">
      <c r="A128" s="59">
        <v>23395</v>
      </c>
      <c r="B128" s="92">
        <v>2</v>
      </c>
    </row>
    <row r="129" spans="1:2">
      <c r="A129" s="59">
        <v>62546</v>
      </c>
      <c r="B129" s="92">
        <v>2</v>
      </c>
    </row>
    <row r="130" spans="1:2">
      <c r="A130" s="59">
        <v>66130</v>
      </c>
      <c r="B130" s="92">
        <v>2</v>
      </c>
    </row>
    <row r="131" spans="1:2">
      <c r="A131" s="59">
        <v>67235</v>
      </c>
      <c r="B131" s="92">
        <v>2</v>
      </c>
    </row>
    <row r="132" spans="1:2">
      <c r="A132" s="59">
        <v>68718</v>
      </c>
      <c r="B132" s="92">
        <v>2</v>
      </c>
    </row>
    <row r="133" spans="1:2">
      <c r="A133" s="59">
        <v>57302</v>
      </c>
      <c r="B133" s="92">
        <v>1</v>
      </c>
    </row>
    <row r="134" spans="1:2">
      <c r="A134" s="59">
        <v>33516</v>
      </c>
      <c r="B134" s="92">
        <v>1</v>
      </c>
    </row>
    <row r="135" spans="1:2">
      <c r="A135" s="59">
        <v>19393</v>
      </c>
      <c r="B135" s="92">
        <v>2</v>
      </c>
    </row>
    <row r="136" spans="1:2">
      <c r="A136" s="59">
        <v>22462</v>
      </c>
      <c r="B136" s="92">
        <v>2</v>
      </c>
    </row>
    <row r="137" spans="1:2">
      <c r="A137" s="59">
        <v>33524</v>
      </c>
      <c r="B137" s="92">
        <v>2</v>
      </c>
    </row>
    <row r="138" spans="1:2">
      <c r="A138" s="59">
        <v>68719</v>
      </c>
      <c r="B138" s="92">
        <v>2</v>
      </c>
    </row>
    <row r="139" spans="1:2">
      <c r="A139" s="59">
        <v>52338</v>
      </c>
      <c r="B139" s="92">
        <v>1</v>
      </c>
    </row>
    <row r="140" spans="1:2">
      <c r="A140" s="59">
        <v>66331</v>
      </c>
      <c r="B140" s="92">
        <v>2</v>
      </c>
    </row>
    <row r="141" spans="1:2">
      <c r="A141" s="59">
        <v>54632</v>
      </c>
      <c r="B141" s="92">
        <v>2</v>
      </c>
    </row>
    <row r="142" spans="1:2">
      <c r="A142" s="59">
        <v>79339</v>
      </c>
      <c r="B142" s="92">
        <v>2</v>
      </c>
    </row>
    <row r="143" spans="1:2">
      <c r="A143" s="59">
        <v>53058</v>
      </c>
      <c r="B143" s="92">
        <v>2</v>
      </c>
    </row>
    <row r="144" spans="1:2">
      <c r="A144" s="59">
        <v>53254</v>
      </c>
      <c r="B144" s="92">
        <v>2</v>
      </c>
    </row>
    <row r="145" spans="1:2">
      <c r="A145" s="59">
        <v>100103</v>
      </c>
      <c r="B145" s="93">
        <v>0</v>
      </c>
    </row>
    <row r="146" spans="1:2">
      <c r="A146" s="59">
        <v>68714</v>
      </c>
      <c r="B146" s="93">
        <v>2</v>
      </c>
    </row>
    <row r="147" spans="1:2">
      <c r="A147" s="59">
        <v>68716</v>
      </c>
      <c r="B147" s="93">
        <v>2</v>
      </c>
    </row>
    <row r="148" spans="1:2">
      <c r="A148" s="59">
        <v>22220</v>
      </c>
      <c r="B148" s="93">
        <v>0</v>
      </c>
    </row>
    <row r="149" spans="1:2">
      <c r="A149" s="59">
        <v>23396</v>
      </c>
      <c r="B149" s="93">
        <v>0</v>
      </c>
    </row>
    <row r="150" spans="1:2">
      <c r="A150" s="59">
        <v>79338</v>
      </c>
      <c r="B150" s="93">
        <v>2</v>
      </c>
    </row>
    <row r="151" spans="1:2">
      <c r="A151" s="59">
        <v>33431</v>
      </c>
      <c r="B151" s="93">
        <v>0</v>
      </c>
    </row>
    <row r="152" spans="1:2">
      <c r="A152" s="59">
        <v>33280</v>
      </c>
      <c r="B152" s="93">
        <v>2</v>
      </c>
    </row>
    <row r="153" spans="1:2">
      <c r="A153" s="59">
        <v>33689</v>
      </c>
      <c r="B153" s="93">
        <v>2</v>
      </c>
    </row>
    <row r="154" spans="1:2">
      <c r="A154" s="59">
        <v>33691</v>
      </c>
      <c r="B154" s="93">
        <v>2</v>
      </c>
    </row>
    <row r="155" spans="1:2">
      <c r="A155" s="59">
        <v>33522</v>
      </c>
      <c r="B155" s="93">
        <v>2</v>
      </c>
    </row>
    <row r="156" spans="1:2">
      <c r="A156" s="59">
        <v>20904</v>
      </c>
      <c r="B156" s="93">
        <v>1</v>
      </c>
    </row>
    <row r="157" spans="1:2">
      <c r="A157" s="59">
        <v>75412</v>
      </c>
      <c r="B157" s="93">
        <v>1</v>
      </c>
    </row>
    <row r="158" spans="1:2">
      <c r="A158" s="59">
        <v>85127</v>
      </c>
      <c r="B158" s="93">
        <v>2</v>
      </c>
    </row>
    <row r="159" spans="1:2">
      <c r="A159" s="59">
        <v>163631</v>
      </c>
      <c r="B159" s="93">
        <v>0</v>
      </c>
    </row>
    <row r="160" spans="1:2">
      <c r="A160" s="59">
        <v>26698</v>
      </c>
      <c r="B160" s="93">
        <v>3</v>
      </c>
    </row>
    <row r="161" spans="1:2">
      <c r="A161" s="59">
        <v>62547</v>
      </c>
      <c r="B161" s="93">
        <v>2</v>
      </c>
    </row>
    <row r="162" spans="1:2">
      <c r="A162" s="59">
        <v>66129</v>
      </c>
      <c r="B162" s="93">
        <v>2</v>
      </c>
    </row>
    <row r="163" spans="1:2">
      <c r="A163" s="59">
        <v>26699</v>
      </c>
      <c r="B163" s="93">
        <v>1</v>
      </c>
    </row>
    <row r="164" spans="1:2">
      <c r="A164" s="59">
        <v>26395</v>
      </c>
      <c r="B164" s="93">
        <v>1</v>
      </c>
    </row>
    <row r="165" spans="1:2">
      <c r="A165" s="59">
        <v>53117</v>
      </c>
      <c r="B165" s="93">
        <v>2</v>
      </c>
    </row>
    <row r="166" spans="1:2">
      <c r="A166" s="59">
        <v>33520</v>
      </c>
      <c r="B166" s="93">
        <v>2</v>
      </c>
    </row>
    <row r="167" spans="1:2">
      <c r="A167" s="59">
        <v>33679</v>
      </c>
      <c r="B167" s="93">
        <v>2</v>
      </c>
    </row>
    <row r="168" spans="1:2">
      <c r="A168" s="59">
        <v>33687</v>
      </c>
      <c r="B168" s="93">
        <v>2</v>
      </c>
    </row>
    <row r="169" spans="1:2">
      <c r="A169" s="59">
        <v>68715</v>
      </c>
      <c r="B169" s="93">
        <v>2</v>
      </c>
    </row>
    <row r="170" spans="1:2">
      <c r="A170" s="59">
        <v>33685</v>
      </c>
      <c r="B170" s="93">
        <v>0</v>
      </c>
    </row>
    <row r="171" spans="1:2">
      <c r="A171" s="59">
        <v>161673</v>
      </c>
      <c r="B171" s="93">
        <v>0</v>
      </c>
    </row>
    <row r="172" spans="1:2">
      <c r="A172" s="59">
        <v>26397</v>
      </c>
      <c r="B172" s="93">
        <v>1</v>
      </c>
    </row>
    <row r="173" spans="1:2">
      <c r="A173" s="59">
        <v>23550</v>
      </c>
      <c r="B173" s="93">
        <v>1</v>
      </c>
    </row>
    <row r="174" spans="1:2">
      <c r="A174" s="59">
        <v>33675</v>
      </c>
      <c r="B174" s="93">
        <v>0</v>
      </c>
    </row>
    <row r="175" spans="1:2">
      <c r="A175" s="59">
        <v>53614</v>
      </c>
      <c r="B175" s="93">
        <v>0</v>
      </c>
    </row>
    <row r="176" spans="1:2">
      <c r="A176" s="59">
        <v>68717</v>
      </c>
      <c r="B176" s="93">
        <v>2</v>
      </c>
    </row>
    <row r="177" spans="1:2">
      <c r="A177" s="59">
        <v>58987</v>
      </c>
      <c r="B177" s="93">
        <v>2</v>
      </c>
    </row>
    <row r="178" spans="1:2">
      <c r="A178" s="59">
        <v>58986</v>
      </c>
      <c r="B178" s="93">
        <v>2</v>
      </c>
    </row>
    <row r="179" spans="1:2">
      <c r="A179" s="59">
        <v>71352</v>
      </c>
      <c r="B179" s="93">
        <v>2</v>
      </c>
    </row>
    <row r="180" spans="1:2">
      <c r="A180" s="59"/>
      <c r="B180" s="94"/>
    </row>
    <row r="181" spans="1:2">
      <c r="A181" s="88"/>
      <c r="B181" s="88"/>
    </row>
    <row r="182" spans="1:2">
      <c r="A182" s="88"/>
      <c r="B182" s="88"/>
    </row>
    <row r="183" spans="1:2">
      <c r="A183" s="88"/>
      <c r="B183" s="88"/>
    </row>
    <row r="184" spans="1:2">
      <c r="A184" s="88"/>
      <c r="B184" s="88"/>
    </row>
    <row r="185" spans="1:2">
      <c r="A185" s="88"/>
      <c r="B185" s="88"/>
    </row>
    <row r="186" spans="1:2">
      <c r="A186" s="88"/>
      <c r="B186" s="88"/>
    </row>
    <row r="187" spans="1:2">
      <c r="A187" s="88"/>
      <c r="B187" s="88"/>
    </row>
    <row r="188" spans="1:2">
      <c r="A188" s="88"/>
      <c r="B188" s="88"/>
    </row>
    <row r="189" spans="1:2">
      <c r="A189" s="88"/>
      <c r="B189" s="88"/>
    </row>
    <row r="190" spans="1:2">
      <c r="A190" s="88"/>
      <c r="B190" s="88"/>
    </row>
    <row r="191" spans="1:2">
      <c r="A191" s="88"/>
      <c r="B191" s="88"/>
    </row>
    <row r="192" spans="1:2">
      <c r="A192" s="88"/>
      <c r="B192" s="88"/>
    </row>
    <row r="193" spans="1:2">
      <c r="A193" s="88"/>
      <c r="B193" s="88"/>
    </row>
    <row r="194" spans="1:1">
      <c r="A194" s="88"/>
    </row>
  </sheetData>
  <autoFilter xmlns:etc="http://www.wps.cn/officeDocument/2017/etCustomData" ref="A1:B193" etc:filterBottomFollowUsedRange="0">
    <extLst/>
  </autoFilter>
  <conditionalFormatting sqref="A38">
    <cfRule type="duplicateValues" dxfId="4" priority="26"/>
  </conditionalFormatting>
  <conditionalFormatting sqref="A39">
    <cfRule type="duplicateValues" dxfId="4" priority="25"/>
  </conditionalFormatting>
  <conditionalFormatting sqref="A40">
    <cfRule type="duplicateValues" dxfId="4" priority="24"/>
  </conditionalFormatting>
  <conditionalFormatting sqref="A41">
    <cfRule type="duplicateValues" dxfId="4" priority="23"/>
  </conditionalFormatting>
  <conditionalFormatting sqref="A42">
    <cfRule type="duplicateValues" dxfId="4" priority="22"/>
  </conditionalFormatting>
  <conditionalFormatting sqref="A43">
    <cfRule type="duplicateValues" dxfId="4" priority="21"/>
  </conditionalFormatting>
  <conditionalFormatting sqref="A44">
    <cfRule type="duplicateValues" dxfId="4" priority="20"/>
  </conditionalFormatting>
  <conditionalFormatting sqref="A45">
    <cfRule type="duplicateValues" dxfId="4" priority="19"/>
  </conditionalFormatting>
  <conditionalFormatting sqref="A46">
    <cfRule type="duplicateValues" dxfId="4" priority="18"/>
  </conditionalFormatting>
  <conditionalFormatting sqref="A47">
    <cfRule type="duplicateValues" dxfId="4" priority="17"/>
  </conditionalFormatting>
  <conditionalFormatting sqref="A48">
    <cfRule type="duplicateValues" dxfId="4" priority="16"/>
  </conditionalFormatting>
  <conditionalFormatting sqref="A49">
    <cfRule type="duplicateValues" dxfId="4" priority="15"/>
  </conditionalFormatting>
  <conditionalFormatting sqref="A50">
    <cfRule type="duplicateValues" dxfId="4" priority="14"/>
  </conditionalFormatting>
  <conditionalFormatting sqref="A51">
    <cfRule type="duplicateValues" dxfId="4" priority="13"/>
  </conditionalFormatting>
  <conditionalFormatting sqref="A52">
    <cfRule type="duplicateValues" dxfId="4" priority="12"/>
  </conditionalFormatting>
  <conditionalFormatting sqref="A53">
    <cfRule type="duplicateValues" dxfId="4" priority="11"/>
  </conditionalFormatting>
  <conditionalFormatting sqref="A54">
    <cfRule type="duplicateValues" dxfId="4" priority="10"/>
  </conditionalFormatting>
  <conditionalFormatting sqref="A55">
    <cfRule type="duplicateValues" dxfId="4" priority="9"/>
  </conditionalFormatting>
  <conditionalFormatting sqref="A56">
    <cfRule type="duplicateValues" dxfId="4" priority="8"/>
  </conditionalFormatting>
  <conditionalFormatting sqref="A57">
    <cfRule type="duplicateValues" dxfId="4" priority="7"/>
  </conditionalFormatting>
  <conditionalFormatting sqref="A58">
    <cfRule type="duplicateValues" dxfId="4" priority="6"/>
  </conditionalFormatting>
  <conditionalFormatting sqref="A59">
    <cfRule type="duplicateValues" dxfId="4" priority="5"/>
  </conditionalFormatting>
  <conditionalFormatting sqref="A60">
    <cfRule type="duplicateValues" dxfId="4" priority="4"/>
  </conditionalFormatting>
  <conditionalFormatting sqref="A61">
    <cfRule type="duplicateValues" dxfId="4" priority="3"/>
  </conditionalFormatting>
  <conditionalFormatting sqref="A62">
    <cfRule type="duplicateValues" dxfId="4" priority="2"/>
  </conditionalFormatting>
  <conditionalFormatting sqref="A63">
    <cfRule type="duplicateValues" dxfId="4" priority="1"/>
  </conditionalFormatting>
  <conditionalFormatting sqref="A2:A37">
    <cfRule type="duplicateValues" dxfId="4" priority="27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8"/>
  <sheetViews>
    <sheetView zoomScale="130" zoomScaleNormal="130" topLeftCell="A24" workbookViewId="0">
      <selection activeCell="L48" sqref="L48"/>
    </sheetView>
  </sheetViews>
  <sheetFormatPr defaultColWidth="9" defaultRowHeight="15.75"/>
  <cols>
    <col min="3" max="3" width="21.925" customWidth="1"/>
  </cols>
  <sheetData>
    <row r="1" s="52" customFormat="1" ht="40.8" customHeight="1" spans="1:30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79" t="s">
        <v>19</v>
      </c>
      <c r="AC1" s="80"/>
      <c r="AD1" s="80"/>
    </row>
    <row r="2" s="53" customFormat="1" ht="19.05" customHeight="1" spans="1:30">
      <c r="A2" s="59">
        <v>33279</v>
      </c>
      <c r="B2" s="64" t="s">
        <v>57</v>
      </c>
      <c r="C2" s="63" t="s">
        <v>73</v>
      </c>
      <c r="D2" s="57" t="s">
        <v>29</v>
      </c>
      <c r="F2" s="57">
        <v>2</v>
      </c>
      <c r="G2" s="57">
        <v>3</v>
      </c>
      <c r="H2" s="57">
        <v>38</v>
      </c>
      <c r="I2" s="57">
        <v>30</v>
      </c>
      <c r="J2" s="71">
        <v>-0.210526315789474</v>
      </c>
      <c r="K2" s="57">
        <v>429.4</v>
      </c>
      <c r="L2" s="57">
        <v>7</v>
      </c>
      <c r="O2" s="73"/>
      <c r="AC2" s="81">
        <v>58</v>
      </c>
      <c r="AD2" s="81">
        <v>18</v>
      </c>
    </row>
    <row r="3" s="54" customFormat="1" ht="19.05" customHeight="1" spans="1:30">
      <c r="A3" s="59">
        <v>12256</v>
      </c>
      <c r="B3" s="64" t="s">
        <v>57</v>
      </c>
      <c r="C3" s="83" t="s">
        <v>61</v>
      </c>
      <c r="D3" s="57" t="s">
        <v>29</v>
      </c>
      <c r="E3" s="53"/>
      <c r="F3" s="57">
        <v>1</v>
      </c>
      <c r="G3" s="57">
        <v>2</v>
      </c>
      <c r="H3" s="57">
        <v>8</v>
      </c>
      <c r="I3" s="57">
        <v>2</v>
      </c>
      <c r="J3" s="71">
        <v>-0.75</v>
      </c>
      <c r="K3" s="57">
        <v>33.6</v>
      </c>
      <c r="L3" s="57">
        <v>2</v>
      </c>
      <c r="M3" s="53"/>
      <c r="N3" s="53"/>
      <c r="O3" s="7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81">
        <v>28</v>
      </c>
      <c r="AD3" s="81">
        <v>-12</v>
      </c>
    </row>
    <row r="4" s="53" customFormat="1" ht="19.05" customHeight="1" spans="1:30">
      <c r="A4" s="59">
        <v>33520</v>
      </c>
      <c r="B4" s="59" t="s">
        <v>175</v>
      </c>
      <c r="C4" s="60" t="s">
        <v>211</v>
      </c>
      <c r="D4" s="64" t="s">
        <v>29</v>
      </c>
      <c r="F4" s="57">
        <v>1</v>
      </c>
      <c r="G4" s="57">
        <v>2</v>
      </c>
      <c r="H4" s="57">
        <v>8</v>
      </c>
      <c r="I4" s="57">
        <v>5</v>
      </c>
      <c r="J4" s="71">
        <v>-0.375</v>
      </c>
      <c r="K4" s="57">
        <v>24.7</v>
      </c>
      <c r="L4" s="57">
        <v>0</v>
      </c>
      <c r="O4" s="73"/>
      <c r="AC4" s="81"/>
      <c r="AD4" s="81"/>
    </row>
    <row r="5" s="53" customFormat="1" spans="1:30">
      <c r="A5" s="61">
        <v>19393</v>
      </c>
      <c r="B5" s="59" t="s">
        <v>175</v>
      </c>
      <c r="C5" s="65" t="s">
        <v>177</v>
      </c>
      <c r="D5" s="64" t="s">
        <v>29</v>
      </c>
      <c r="F5" s="57">
        <v>3</v>
      </c>
      <c r="G5" s="57">
        <v>2</v>
      </c>
      <c r="H5" s="57">
        <v>11</v>
      </c>
      <c r="I5" s="57">
        <v>7</v>
      </c>
      <c r="J5" s="71">
        <v>-0.363636363636364</v>
      </c>
      <c r="K5" s="57">
        <v>31.5</v>
      </c>
      <c r="L5" s="57">
        <v>0</v>
      </c>
      <c r="O5" s="73"/>
      <c r="AC5" s="81">
        <v>31</v>
      </c>
      <c r="AD5" s="81">
        <v>-9</v>
      </c>
    </row>
    <row r="6" s="53" customFormat="1" spans="1:30">
      <c r="A6" s="59">
        <v>33522</v>
      </c>
      <c r="B6" s="59" t="s">
        <v>175</v>
      </c>
      <c r="C6" s="65" t="s">
        <v>199</v>
      </c>
      <c r="D6" s="64" t="s">
        <v>29</v>
      </c>
      <c r="F6" s="57">
        <v>2</v>
      </c>
      <c r="G6" s="57">
        <v>2</v>
      </c>
      <c r="H6" s="57">
        <v>16</v>
      </c>
      <c r="I6" s="57">
        <v>11</v>
      </c>
      <c r="J6" s="71">
        <v>-0.3125</v>
      </c>
      <c r="K6" s="57">
        <v>111.2</v>
      </c>
      <c r="L6" s="57">
        <v>0</v>
      </c>
      <c r="O6" s="73"/>
      <c r="AC6" s="81"/>
      <c r="AD6" s="81"/>
    </row>
    <row r="7" s="53" customFormat="1" spans="1:30">
      <c r="A7" s="59">
        <v>33428</v>
      </c>
      <c r="B7" s="64" t="s">
        <v>57</v>
      </c>
      <c r="C7" s="83" t="s">
        <v>82</v>
      </c>
      <c r="D7" s="57" t="s">
        <v>29</v>
      </c>
      <c r="F7" s="57">
        <v>1</v>
      </c>
      <c r="G7" s="57">
        <v>2</v>
      </c>
      <c r="H7" s="57">
        <v>31</v>
      </c>
      <c r="I7" s="57">
        <v>14</v>
      </c>
      <c r="J7" s="71">
        <v>-0.548387096774194</v>
      </c>
      <c r="K7" s="57">
        <v>213.2</v>
      </c>
      <c r="L7" s="57">
        <v>6</v>
      </c>
      <c r="O7" s="73"/>
      <c r="AC7" s="81">
        <v>51</v>
      </c>
      <c r="AD7" s="81">
        <v>11</v>
      </c>
    </row>
    <row r="8" s="53" customFormat="1" spans="1:30">
      <c r="A8" s="59">
        <v>33423</v>
      </c>
      <c r="B8" s="64" t="s">
        <v>57</v>
      </c>
      <c r="C8" s="83" t="s">
        <v>83</v>
      </c>
      <c r="D8" s="57" t="s">
        <v>29</v>
      </c>
      <c r="F8" s="57">
        <v>1</v>
      </c>
      <c r="G8" s="57">
        <v>2</v>
      </c>
      <c r="H8" s="57">
        <v>6</v>
      </c>
      <c r="I8" s="57">
        <v>14</v>
      </c>
      <c r="J8" s="71">
        <v>1.33333333333333</v>
      </c>
      <c r="K8" s="57">
        <v>210.8</v>
      </c>
      <c r="L8" s="57">
        <v>2</v>
      </c>
      <c r="O8" s="73"/>
      <c r="AC8" s="81">
        <v>26</v>
      </c>
      <c r="AD8" s="81">
        <v>-14</v>
      </c>
    </row>
    <row r="9" s="53" customFormat="1" spans="1:30">
      <c r="A9" s="59">
        <v>20905</v>
      </c>
      <c r="B9" s="64" t="s">
        <v>57</v>
      </c>
      <c r="C9" s="83" t="s">
        <v>66</v>
      </c>
      <c r="D9" s="57" t="s">
        <v>29</v>
      </c>
      <c r="F9" s="57">
        <v>1</v>
      </c>
      <c r="G9" s="57">
        <v>2</v>
      </c>
      <c r="H9" s="57">
        <v>48</v>
      </c>
      <c r="I9" s="57">
        <v>15</v>
      </c>
      <c r="J9" s="71">
        <v>-0.6875</v>
      </c>
      <c r="K9" s="57">
        <v>205.8</v>
      </c>
      <c r="L9" s="57">
        <v>1</v>
      </c>
      <c r="O9" s="73"/>
      <c r="AC9" s="81">
        <v>68</v>
      </c>
      <c r="AD9" s="81">
        <v>28</v>
      </c>
    </row>
    <row r="10" s="53" customFormat="1" spans="1:30">
      <c r="A10" s="61">
        <v>18878</v>
      </c>
      <c r="B10" s="57" t="s">
        <v>117</v>
      </c>
      <c r="C10" s="62" t="s">
        <v>118</v>
      </c>
      <c r="D10" s="64" t="s">
        <v>29</v>
      </c>
      <c r="F10" s="57">
        <v>1</v>
      </c>
      <c r="G10" s="57">
        <v>2</v>
      </c>
      <c r="H10" s="57">
        <v>36</v>
      </c>
      <c r="I10" s="57">
        <v>17</v>
      </c>
      <c r="J10" s="71">
        <v>-0.527777777777778</v>
      </c>
      <c r="K10" s="57">
        <v>264.7</v>
      </c>
      <c r="L10" s="57">
        <v>0</v>
      </c>
      <c r="O10" s="73"/>
      <c r="AC10" s="81">
        <v>56</v>
      </c>
      <c r="AD10" s="81">
        <v>16</v>
      </c>
    </row>
    <row r="11" s="53" customFormat="1" spans="1:30">
      <c r="A11" s="61">
        <v>22462</v>
      </c>
      <c r="B11" s="59" t="s">
        <v>175</v>
      </c>
      <c r="C11" s="65" t="s">
        <v>178</v>
      </c>
      <c r="D11" s="64" t="s">
        <v>29</v>
      </c>
      <c r="F11" s="57">
        <v>2</v>
      </c>
      <c r="G11" s="57">
        <v>2</v>
      </c>
      <c r="H11" s="57">
        <v>15</v>
      </c>
      <c r="I11" s="57">
        <v>17</v>
      </c>
      <c r="J11" s="71">
        <v>0.133333333333333</v>
      </c>
      <c r="K11" s="57">
        <v>75.85</v>
      </c>
      <c r="L11" s="57">
        <v>0</v>
      </c>
      <c r="O11" s="73"/>
      <c r="AC11" s="81">
        <v>35</v>
      </c>
      <c r="AD11" s="81">
        <v>-5</v>
      </c>
    </row>
    <row r="12" s="53" customFormat="1" spans="1:30">
      <c r="A12" s="59">
        <v>12241</v>
      </c>
      <c r="B12" s="64" t="s">
        <v>57</v>
      </c>
      <c r="C12" s="83" t="s">
        <v>60</v>
      </c>
      <c r="D12" s="57" t="s">
        <v>29</v>
      </c>
      <c r="F12" s="57">
        <v>1</v>
      </c>
      <c r="G12" s="57">
        <v>2</v>
      </c>
      <c r="H12" s="57">
        <v>55</v>
      </c>
      <c r="I12" s="57">
        <v>19</v>
      </c>
      <c r="J12" s="71">
        <v>-0.654545454545455</v>
      </c>
      <c r="K12" s="57">
        <v>266</v>
      </c>
      <c r="L12" s="57">
        <v>0</v>
      </c>
      <c r="O12" s="73"/>
      <c r="AC12" s="81">
        <v>75</v>
      </c>
      <c r="AD12" s="81">
        <v>35</v>
      </c>
    </row>
    <row r="13" s="53" customFormat="1" spans="1:30">
      <c r="A13" s="59">
        <v>29354</v>
      </c>
      <c r="B13" s="64" t="s">
        <v>57</v>
      </c>
      <c r="C13" s="83" t="s">
        <v>76</v>
      </c>
      <c r="D13" s="57" t="s">
        <v>29</v>
      </c>
      <c r="F13" s="57">
        <v>2</v>
      </c>
      <c r="G13" s="57">
        <v>2</v>
      </c>
      <c r="H13" s="57">
        <v>40</v>
      </c>
      <c r="I13" s="57">
        <v>20</v>
      </c>
      <c r="J13" s="71">
        <v>-0.5</v>
      </c>
      <c r="K13" s="57">
        <v>281.4</v>
      </c>
      <c r="L13" s="57">
        <v>3</v>
      </c>
      <c r="O13" s="73"/>
      <c r="AC13" s="81">
        <v>60</v>
      </c>
      <c r="AD13" s="81">
        <v>20</v>
      </c>
    </row>
    <row r="14" s="53" customFormat="1" spans="1:30">
      <c r="A14" s="59">
        <v>33422</v>
      </c>
      <c r="B14" s="64" t="s">
        <v>57</v>
      </c>
      <c r="C14" s="83" t="s">
        <v>78</v>
      </c>
      <c r="D14" s="57" t="s">
        <v>29</v>
      </c>
      <c r="F14" s="57">
        <v>2</v>
      </c>
      <c r="G14" s="57">
        <v>2</v>
      </c>
      <c r="H14" s="57">
        <v>23</v>
      </c>
      <c r="I14" s="57">
        <v>22</v>
      </c>
      <c r="J14" s="71">
        <v>-0.0434782608695652</v>
      </c>
      <c r="K14" s="57">
        <v>326.3</v>
      </c>
      <c r="L14" s="57">
        <v>6</v>
      </c>
      <c r="O14" s="73"/>
      <c r="AC14" s="81">
        <v>43</v>
      </c>
      <c r="AD14" s="81">
        <v>3</v>
      </c>
    </row>
    <row r="15" s="53" customFormat="1" spans="1:30">
      <c r="A15" s="59">
        <v>33424</v>
      </c>
      <c r="B15" s="64" t="s">
        <v>57</v>
      </c>
      <c r="C15" s="83" t="s">
        <v>85</v>
      </c>
      <c r="D15" s="57" t="s">
        <v>29</v>
      </c>
      <c r="F15" s="57">
        <v>2</v>
      </c>
      <c r="G15" s="57">
        <v>2</v>
      </c>
      <c r="H15" s="57">
        <v>34</v>
      </c>
      <c r="I15" s="57">
        <v>22</v>
      </c>
      <c r="J15" s="71">
        <v>-0.352941176470588</v>
      </c>
      <c r="K15" s="57">
        <v>285.9</v>
      </c>
      <c r="L15" s="57">
        <v>3</v>
      </c>
      <c r="O15" s="73"/>
      <c r="AC15" s="81">
        <v>54</v>
      </c>
      <c r="AD15" s="81">
        <v>14</v>
      </c>
    </row>
    <row r="16" s="53" customFormat="1" spans="1:30">
      <c r="A16" s="59">
        <v>58987</v>
      </c>
      <c r="B16" s="59" t="s">
        <v>175</v>
      </c>
      <c r="C16" s="60" t="s">
        <v>222</v>
      </c>
      <c r="D16" s="64" t="s">
        <v>29</v>
      </c>
      <c r="F16" s="57">
        <v>1</v>
      </c>
      <c r="G16" s="57">
        <v>2</v>
      </c>
      <c r="H16" s="57">
        <v>27</v>
      </c>
      <c r="I16" s="57">
        <v>25</v>
      </c>
      <c r="J16" s="71">
        <v>-0.0740740740740741</v>
      </c>
      <c r="K16" s="57">
        <v>463.64</v>
      </c>
      <c r="L16" s="57">
        <v>0</v>
      </c>
      <c r="O16" s="73"/>
      <c r="AC16" s="81"/>
      <c r="AD16" s="81"/>
    </row>
    <row r="17" s="53" customFormat="1" spans="1:30">
      <c r="A17" s="59">
        <v>20770</v>
      </c>
      <c r="B17" s="64" t="s">
        <v>57</v>
      </c>
      <c r="C17" s="83" t="s">
        <v>62</v>
      </c>
      <c r="D17" s="57" t="s">
        <v>29</v>
      </c>
      <c r="F17" s="57">
        <v>2</v>
      </c>
      <c r="G17" s="57">
        <v>2</v>
      </c>
      <c r="H17" s="57">
        <v>75</v>
      </c>
      <c r="I17" s="57">
        <v>27</v>
      </c>
      <c r="J17" s="71">
        <v>-0.64</v>
      </c>
      <c r="K17" s="57">
        <v>417.3</v>
      </c>
      <c r="L17" s="57">
        <v>5</v>
      </c>
      <c r="O17" s="73"/>
      <c r="AC17" s="81">
        <v>95</v>
      </c>
      <c r="AD17" s="81">
        <v>55</v>
      </c>
    </row>
    <row r="18" s="53" customFormat="1" spans="1:30">
      <c r="A18" s="59">
        <v>22176</v>
      </c>
      <c r="B18" s="64" t="s">
        <v>57</v>
      </c>
      <c r="C18" s="83" t="s">
        <v>69</v>
      </c>
      <c r="D18" s="57" t="s">
        <v>29</v>
      </c>
      <c r="F18" s="57">
        <v>1</v>
      </c>
      <c r="G18" s="57">
        <v>2</v>
      </c>
      <c r="H18" s="57">
        <v>29</v>
      </c>
      <c r="I18" s="57">
        <v>27</v>
      </c>
      <c r="J18" s="71">
        <v>-0.0689655172413793</v>
      </c>
      <c r="K18" s="57">
        <v>375.1</v>
      </c>
      <c r="L18" s="57">
        <v>0</v>
      </c>
      <c r="O18" s="73"/>
      <c r="AC18" s="81">
        <v>49</v>
      </c>
      <c r="AD18" s="81">
        <v>9</v>
      </c>
    </row>
    <row r="19" s="53" customFormat="1" spans="1:30">
      <c r="A19" s="61">
        <v>27748</v>
      </c>
      <c r="B19" s="57" t="s">
        <v>117</v>
      </c>
      <c r="C19" s="62" t="s">
        <v>119</v>
      </c>
      <c r="D19" s="64" t="s">
        <v>29</v>
      </c>
      <c r="F19" s="57">
        <v>1</v>
      </c>
      <c r="G19" s="57">
        <v>2</v>
      </c>
      <c r="H19" s="57">
        <v>15</v>
      </c>
      <c r="I19" s="57">
        <v>28</v>
      </c>
      <c r="J19" s="71">
        <v>0.866666666666667</v>
      </c>
      <c r="K19" s="57">
        <v>388.9</v>
      </c>
      <c r="L19" s="57">
        <v>0</v>
      </c>
      <c r="O19" s="73"/>
      <c r="AC19" s="81">
        <v>35</v>
      </c>
      <c r="AD19" s="81">
        <v>-5</v>
      </c>
    </row>
    <row r="20" s="54" customFormat="1" spans="1:30">
      <c r="A20" s="59">
        <v>33427</v>
      </c>
      <c r="B20" s="64" t="s">
        <v>57</v>
      </c>
      <c r="C20" s="83" t="s">
        <v>84</v>
      </c>
      <c r="D20" s="57" t="s">
        <v>29</v>
      </c>
      <c r="E20" s="53"/>
      <c r="F20" s="57">
        <v>2</v>
      </c>
      <c r="G20" s="57">
        <v>2</v>
      </c>
      <c r="H20" s="57">
        <v>73</v>
      </c>
      <c r="I20" s="57">
        <v>31</v>
      </c>
      <c r="J20" s="71">
        <v>-0.575342465753425</v>
      </c>
      <c r="K20" s="57">
        <v>451.7</v>
      </c>
      <c r="L20" s="57">
        <v>2</v>
      </c>
      <c r="M20" s="53"/>
      <c r="N20" s="53"/>
      <c r="O20" s="7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81">
        <v>93</v>
      </c>
      <c r="AD20" s="81">
        <v>53</v>
      </c>
    </row>
    <row r="21" s="54" customFormat="1" spans="1:30">
      <c r="A21" s="59">
        <v>26986</v>
      </c>
      <c r="B21" s="64" t="s">
        <v>57</v>
      </c>
      <c r="C21" s="83" t="s">
        <v>68</v>
      </c>
      <c r="D21" s="57" t="s">
        <v>29</v>
      </c>
      <c r="E21" s="53"/>
      <c r="F21" s="57">
        <v>2</v>
      </c>
      <c r="G21" s="57">
        <v>2</v>
      </c>
      <c r="H21" s="57">
        <v>85</v>
      </c>
      <c r="I21" s="57">
        <v>32</v>
      </c>
      <c r="J21" s="71">
        <v>-0.623529411764706</v>
      </c>
      <c r="K21" s="57">
        <v>460.5</v>
      </c>
      <c r="L21" s="57">
        <v>0</v>
      </c>
      <c r="M21" s="53"/>
      <c r="N21" s="53"/>
      <c r="O21" s="7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81">
        <v>105</v>
      </c>
      <c r="AD21" s="81">
        <v>65</v>
      </c>
    </row>
    <row r="22" s="53" customFormat="1" spans="1:30">
      <c r="A22" s="59">
        <v>12267</v>
      </c>
      <c r="B22" s="64" t="s">
        <v>57</v>
      </c>
      <c r="C22" s="83" t="s">
        <v>63</v>
      </c>
      <c r="D22" s="57" t="s">
        <v>29</v>
      </c>
      <c r="F22" s="57">
        <v>2</v>
      </c>
      <c r="G22" s="57">
        <v>2</v>
      </c>
      <c r="H22" s="57">
        <v>30</v>
      </c>
      <c r="I22" s="57">
        <v>34</v>
      </c>
      <c r="J22" s="71">
        <v>0.133333333333333</v>
      </c>
      <c r="K22" s="57">
        <v>514.6</v>
      </c>
      <c r="L22" s="57">
        <v>6</v>
      </c>
      <c r="O22" s="73"/>
      <c r="AC22" s="81">
        <v>50</v>
      </c>
      <c r="AD22" s="81">
        <v>10</v>
      </c>
    </row>
    <row r="23" s="53" customFormat="1" spans="1:30">
      <c r="A23" s="59">
        <v>29355</v>
      </c>
      <c r="B23" s="64" t="s">
        <v>57</v>
      </c>
      <c r="C23" s="83" t="s">
        <v>77</v>
      </c>
      <c r="D23" s="57" t="s">
        <v>29</v>
      </c>
      <c r="F23" s="57">
        <v>2</v>
      </c>
      <c r="G23" s="57">
        <v>2</v>
      </c>
      <c r="H23" s="57">
        <v>22</v>
      </c>
      <c r="I23" s="57">
        <v>35</v>
      </c>
      <c r="J23" s="71">
        <v>0.590909090909091</v>
      </c>
      <c r="K23" s="57">
        <v>503</v>
      </c>
      <c r="L23" s="57">
        <v>5</v>
      </c>
      <c r="O23" s="73"/>
      <c r="AC23" s="81">
        <v>42</v>
      </c>
      <c r="AD23" s="81">
        <v>2</v>
      </c>
    </row>
    <row r="24" s="53" customFormat="1" spans="1:30">
      <c r="A24" s="59">
        <v>33420</v>
      </c>
      <c r="B24" s="64" t="s">
        <v>57</v>
      </c>
      <c r="C24" s="83" t="s">
        <v>79</v>
      </c>
      <c r="D24" s="57" t="s">
        <v>29</v>
      </c>
      <c r="F24" s="57">
        <v>1</v>
      </c>
      <c r="G24" s="57">
        <v>2</v>
      </c>
      <c r="H24" s="57">
        <v>67</v>
      </c>
      <c r="I24" s="57">
        <v>35</v>
      </c>
      <c r="J24" s="71">
        <v>-0.477611940298507</v>
      </c>
      <c r="K24" s="57">
        <v>483.7</v>
      </c>
      <c r="L24" s="57">
        <v>6</v>
      </c>
      <c r="O24" s="73"/>
      <c r="AC24" s="81">
        <v>87</v>
      </c>
      <c r="AD24" s="81">
        <v>47</v>
      </c>
    </row>
    <row r="25" s="53" customFormat="1" spans="1:30">
      <c r="A25" s="61">
        <v>22461</v>
      </c>
      <c r="B25" s="57" t="s">
        <v>117</v>
      </c>
      <c r="C25" s="62" t="s">
        <v>121</v>
      </c>
      <c r="D25" s="57" t="s">
        <v>29</v>
      </c>
      <c r="F25" s="57">
        <v>2</v>
      </c>
      <c r="G25" s="57">
        <v>2</v>
      </c>
      <c r="H25" s="57">
        <v>29</v>
      </c>
      <c r="I25" s="57">
        <v>36</v>
      </c>
      <c r="J25" s="71">
        <v>0.241379310344828</v>
      </c>
      <c r="K25" s="57">
        <v>513.3</v>
      </c>
      <c r="L25" s="57">
        <v>31</v>
      </c>
      <c r="O25" s="73"/>
      <c r="AC25" s="81">
        <v>49</v>
      </c>
      <c r="AD25" s="81">
        <v>9</v>
      </c>
    </row>
    <row r="26" s="54" customFormat="1" spans="1:30">
      <c r="A26" s="59">
        <v>85127</v>
      </c>
      <c r="B26" s="59" t="s">
        <v>57</v>
      </c>
      <c r="C26" s="60" t="s">
        <v>202</v>
      </c>
      <c r="D26" s="64" t="s">
        <v>29</v>
      </c>
      <c r="E26" s="53"/>
      <c r="F26" s="57">
        <v>1</v>
      </c>
      <c r="G26" s="57">
        <v>2</v>
      </c>
      <c r="H26" s="57">
        <v>65</v>
      </c>
      <c r="I26" s="57">
        <v>36</v>
      </c>
      <c r="J26" s="71">
        <v>-0.446153846153846</v>
      </c>
      <c r="K26" s="57">
        <v>483.2</v>
      </c>
      <c r="L26" s="57">
        <v>0</v>
      </c>
      <c r="M26" s="53"/>
      <c r="N26" s="53"/>
      <c r="O26" s="7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81"/>
      <c r="AD26" s="81"/>
    </row>
    <row r="27" s="54" customFormat="1" spans="1:30">
      <c r="A27" s="59">
        <v>26990</v>
      </c>
      <c r="B27" s="64" t="s">
        <v>57</v>
      </c>
      <c r="C27" s="63" t="s">
        <v>72</v>
      </c>
      <c r="D27" s="57" t="s">
        <v>29</v>
      </c>
      <c r="E27" s="53"/>
      <c r="F27" s="57">
        <v>2</v>
      </c>
      <c r="G27" s="57">
        <v>2</v>
      </c>
      <c r="H27" s="57">
        <v>54</v>
      </c>
      <c r="I27" s="57">
        <v>38</v>
      </c>
      <c r="J27" s="71">
        <v>-0.296296296296296</v>
      </c>
      <c r="K27" s="57">
        <v>515.4</v>
      </c>
      <c r="L27" s="57">
        <v>0</v>
      </c>
      <c r="M27" s="53"/>
      <c r="N27" s="53"/>
      <c r="O27" s="7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81">
        <v>74</v>
      </c>
      <c r="AD27" s="81">
        <v>34</v>
      </c>
    </row>
    <row r="28" s="53" customFormat="1" spans="1:30">
      <c r="A28" s="59">
        <v>22219</v>
      </c>
      <c r="B28" s="64" t="s">
        <v>57</v>
      </c>
      <c r="C28" s="83" t="s">
        <v>65</v>
      </c>
      <c r="D28" s="57" t="s">
        <v>29</v>
      </c>
      <c r="F28" s="57">
        <v>2</v>
      </c>
      <c r="G28" s="57">
        <v>2</v>
      </c>
      <c r="H28" s="57">
        <v>40</v>
      </c>
      <c r="I28" s="57">
        <v>40</v>
      </c>
      <c r="J28" s="71">
        <v>0</v>
      </c>
      <c r="K28" s="57">
        <v>596.3</v>
      </c>
      <c r="L28" s="57">
        <v>0</v>
      </c>
      <c r="O28" s="73"/>
      <c r="AC28" s="81">
        <v>60</v>
      </c>
      <c r="AD28" s="81">
        <v>20</v>
      </c>
    </row>
    <row r="29" s="53" customFormat="1" spans="1:30">
      <c r="A29" s="59">
        <v>18871</v>
      </c>
      <c r="B29" s="64" t="s">
        <v>57</v>
      </c>
      <c r="C29" s="83" t="s">
        <v>64</v>
      </c>
      <c r="D29" s="57" t="s">
        <v>29</v>
      </c>
      <c r="F29" s="57">
        <v>2</v>
      </c>
      <c r="G29" s="57">
        <v>2</v>
      </c>
      <c r="H29" s="57">
        <v>168</v>
      </c>
      <c r="I29" s="57">
        <v>49</v>
      </c>
      <c r="J29" s="71">
        <v>-0.708333333333333</v>
      </c>
      <c r="K29" s="57">
        <v>757.4</v>
      </c>
      <c r="L29" s="57">
        <v>1</v>
      </c>
      <c r="O29" s="73"/>
      <c r="AC29" s="81">
        <v>188</v>
      </c>
      <c r="AD29" s="81">
        <v>148</v>
      </c>
    </row>
    <row r="30" s="53" customFormat="1" spans="1:30">
      <c r="A30" s="61">
        <v>20903</v>
      </c>
      <c r="B30" s="57" t="s">
        <v>117</v>
      </c>
      <c r="C30" s="62" t="s">
        <v>120</v>
      </c>
      <c r="D30" s="57" t="s">
        <v>29</v>
      </c>
      <c r="F30" s="57">
        <v>2</v>
      </c>
      <c r="G30" s="57">
        <v>2</v>
      </c>
      <c r="H30" s="57">
        <v>75</v>
      </c>
      <c r="I30" s="57">
        <v>51</v>
      </c>
      <c r="J30" s="71">
        <v>-0.32</v>
      </c>
      <c r="K30" s="57">
        <v>760.5</v>
      </c>
      <c r="L30" s="57">
        <v>5</v>
      </c>
      <c r="O30" s="73"/>
      <c r="AC30" s="81">
        <v>95</v>
      </c>
      <c r="AD30" s="81">
        <v>55</v>
      </c>
    </row>
    <row r="31" s="53" customFormat="1" spans="1:30">
      <c r="A31" s="61">
        <v>33417</v>
      </c>
      <c r="B31" s="57" t="s">
        <v>157</v>
      </c>
      <c r="C31" s="62" t="s">
        <v>158</v>
      </c>
      <c r="D31" s="57" t="s">
        <v>29</v>
      </c>
      <c r="F31" s="57">
        <v>2</v>
      </c>
      <c r="G31" s="57">
        <v>2</v>
      </c>
      <c r="H31" s="57">
        <v>50</v>
      </c>
      <c r="I31" s="57">
        <v>60</v>
      </c>
      <c r="J31" s="71">
        <v>0.2</v>
      </c>
      <c r="K31" s="57">
        <v>588</v>
      </c>
      <c r="L31" s="57">
        <v>3</v>
      </c>
      <c r="O31" s="73"/>
      <c r="AC31" s="81">
        <v>70</v>
      </c>
      <c r="AD31" s="81">
        <v>30</v>
      </c>
    </row>
    <row r="32" s="53" customFormat="1" spans="1:30">
      <c r="A32" s="59">
        <v>66331</v>
      </c>
      <c r="B32" s="59" t="s">
        <v>57</v>
      </c>
      <c r="C32" s="65" t="s">
        <v>184</v>
      </c>
      <c r="D32" s="57" t="s">
        <v>29</v>
      </c>
      <c r="F32" s="57">
        <v>2</v>
      </c>
      <c r="G32" s="57">
        <v>2</v>
      </c>
      <c r="H32" s="57">
        <v>195</v>
      </c>
      <c r="I32" s="57">
        <v>60</v>
      </c>
      <c r="J32" s="71">
        <v>-0.692307692307692</v>
      </c>
      <c r="K32" s="57">
        <v>917.9</v>
      </c>
      <c r="L32" s="57">
        <v>0</v>
      </c>
      <c r="O32" s="73"/>
      <c r="AC32" s="81">
        <v>215</v>
      </c>
      <c r="AD32" s="81">
        <v>175</v>
      </c>
    </row>
    <row r="33" s="54" customFormat="1" spans="1:30">
      <c r="A33" s="59">
        <v>33513</v>
      </c>
      <c r="B33" s="64" t="s">
        <v>57</v>
      </c>
      <c r="C33" s="83" t="s">
        <v>86</v>
      </c>
      <c r="D33" s="57" t="s">
        <v>29</v>
      </c>
      <c r="E33" s="53"/>
      <c r="F33" s="57">
        <v>2</v>
      </c>
      <c r="G33" s="57">
        <v>2</v>
      </c>
      <c r="H33" s="57">
        <v>68</v>
      </c>
      <c r="I33" s="57">
        <v>96</v>
      </c>
      <c r="J33" s="71">
        <v>0.411764705882353</v>
      </c>
      <c r="K33" s="57">
        <v>1387</v>
      </c>
      <c r="L33" s="57">
        <v>0</v>
      </c>
      <c r="M33" s="53"/>
      <c r="N33" s="53"/>
      <c r="O33" s="7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81">
        <v>88</v>
      </c>
      <c r="AD33" s="81">
        <v>48</v>
      </c>
    </row>
    <row r="34" s="54" customFormat="1" spans="1:30">
      <c r="A34" s="61">
        <v>33516</v>
      </c>
      <c r="B34" s="59" t="s">
        <v>175</v>
      </c>
      <c r="C34" s="65" t="s">
        <v>176</v>
      </c>
      <c r="D34" s="64" t="s">
        <v>29</v>
      </c>
      <c r="E34" s="53"/>
      <c r="F34" s="57">
        <v>2</v>
      </c>
      <c r="G34" s="57">
        <v>1</v>
      </c>
      <c r="H34" s="57">
        <v>4</v>
      </c>
      <c r="I34" s="57">
        <v>8</v>
      </c>
      <c r="J34" s="71">
        <v>1</v>
      </c>
      <c r="K34" s="57">
        <v>38.1</v>
      </c>
      <c r="L34" s="57">
        <v>0</v>
      </c>
      <c r="M34" s="53"/>
      <c r="N34" s="53"/>
      <c r="O34" s="7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81">
        <v>24</v>
      </c>
      <c r="AD34" s="81">
        <v>-16</v>
      </c>
    </row>
    <row r="35" s="53" customFormat="1" spans="1:30">
      <c r="A35" s="61">
        <v>23398</v>
      </c>
      <c r="B35" s="57" t="s">
        <v>20</v>
      </c>
      <c r="C35" s="62" t="s">
        <v>49</v>
      </c>
      <c r="D35" s="57" t="s">
        <v>29</v>
      </c>
      <c r="F35" s="57">
        <v>2</v>
      </c>
      <c r="G35" s="57">
        <v>1</v>
      </c>
      <c r="H35" s="57">
        <v>6</v>
      </c>
      <c r="I35" s="57">
        <v>9</v>
      </c>
      <c r="J35" s="71">
        <v>0.5</v>
      </c>
      <c r="K35" s="57">
        <v>130.3</v>
      </c>
      <c r="L35" s="57">
        <v>2</v>
      </c>
      <c r="M35" s="57"/>
      <c r="N35" s="57"/>
      <c r="O35" s="74"/>
      <c r="P35" s="57"/>
      <c r="Q35" s="57"/>
      <c r="R35" s="57"/>
      <c r="S35" s="57"/>
      <c r="T35" s="57"/>
      <c r="AC35" s="81">
        <v>26</v>
      </c>
      <c r="AD35" s="81">
        <v>-14</v>
      </c>
    </row>
    <row r="36" s="53" customFormat="1" spans="1:30">
      <c r="A36" s="61">
        <v>33515</v>
      </c>
      <c r="B36" s="57" t="s">
        <v>159</v>
      </c>
      <c r="C36" s="62" t="s">
        <v>160</v>
      </c>
      <c r="D36" s="57" t="s">
        <v>29</v>
      </c>
      <c r="F36" s="57">
        <v>2</v>
      </c>
      <c r="G36" s="57">
        <v>1</v>
      </c>
      <c r="H36" s="57">
        <v>14</v>
      </c>
      <c r="I36" s="57">
        <v>9</v>
      </c>
      <c r="J36" s="71">
        <v>-0.357142857142857</v>
      </c>
      <c r="K36" s="57">
        <v>97.2</v>
      </c>
      <c r="L36" s="57">
        <v>0</v>
      </c>
      <c r="O36" s="73"/>
      <c r="AC36" s="81">
        <v>34</v>
      </c>
      <c r="AD36" s="81">
        <v>-6</v>
      </c>
    </row>
    <row r="37" s="53" customFormat="1" spans="1:30">
      <c r="A37" s="59">
        <v>30012</v>
      </c>
      <c r="B37" s="64" t="s">
        <v>57</v>
      </c>
      <c r="C37" s="83" t="s">
        <v>67</v>
      </c>
      <c r="D37" s="57" t="s">
        <v>29</v>
      </c>
      <c r="F37" s="57">
        <v>1</v>
      </c>
      <c r="G37" s="57">
        <v>1</v>
      </c>
      <c r="H37" s="57">
        <v>14</v>
      </c>
      <c r="I37" s="57">
        <v>11</v>
      </c>
      <c r="J37" s="71">
        <v>-0.214285714285714</v>
      </c>
      <c r="K37" s="57">
        <v>155.1</v>
      </c>
      <c r="L37" s="57">
        <v>1</v>
      </c>
      <c r="O37" s="73"/>
      <c r="AC37" s="81">
        <v>34</v>
      </c>
      <c r="AD37" s="81">
        <v>-6</v>
      </c>
    </row>
    <row r="38" s="53" customFormat="1" spans="1:30">
      <c r="A38" s="61">
        <v>33526</v>
      </c>
      <c r="B38" s="57" t="s">
        <v>117</v>
      </c>
      <c r="C38" s="62" t="s">
        <v>123</v>
      </c>
      <c r="D38" s="57" t="s">
        <v>29</v>
      </c>
      <c r="F38" s="57">
        <v>1</v>
      </c>
      <c r="G38" s="57">
        <v>1</v>
      </c>
      <c r="H38" s="57">
        <v>25</v>
      </c>
      <c r="I38" s="57">
        <v>15</v>
      </c>
      <c r="J38" s="71">
        <v>-0.4</v>
      </c>
      <c r="K38" s="57">
        <v>223.6</v>
      </c>
      <c r="L38" s="57">
        <v>2</v>
      </c>
      <c r="O38" s="73"/>
      <c r="AC38" s="81">
        <v>45</v>
      </c>
      <c r="AD38" s="81">
        <v>5</v>
      </c>
    </row>
    <row r="39" s="53" customFormat="1" spans="1:30">
      <c r="A39" s="61">
        <v>59480</v>
      </c>
      <c r="B39" s="57" t="s">
        <v>146</v>
      </c>
      <c r="C39" s="62" t="s">
        <v>148</v>
      </c>
      <c r="D39" s="57" t="s">
        <v>29</v>
      </c>
      <c r="F39" s="57">
        <v>0</v>
      </c>
      <c r="G39" s="57">
        <v>1</v>
      </c>
      <c r="H39" s="57">
        <v>17</v>
      </c>
      <c r="I39" s="57">
        <v>15</v>
      </c>
      <c r="J39" s="71">
        <v>-0.117647058823529</v>
      </c>
      <c r="K39" s="57">
        <v>238.2</v>
      </c>
      <c r="L39" s="57">
        <v>0</v>
      </c>
      <c r="O39" s="73"/>
      <c r="AC39" s="81">
        <v>37</v>
      </c>
      <c r="AD39" s="81">
        <v>-3</v>
      </c>
    </row>
    <row r="40" s="53" customFormat="1" spans="1:30">
      <c r="A40" s="59">
        <v>36601</v>
      </c>
      <c r="B40" s="64" t="s">
        <v>57</v>
      </c>
      <c r="C40" s="83" t="s">
        <v>71</v>
      </c>
      <c r="D40" s="57" t="s">
        <v>29</v>
      </c>
      <c r="F40" s="57">
        <v>0</v>
      </c>
      <c r="G40" s="57">
        <v>1</v>
      </c>
      <c r="H40" s="57">
        <v>17</v>
      </c>
      <c r="I40" s="57">
        <v>22</v>
      </c>
      <c r="J40" s="71">
        <v>0.294117647058824</v>
      </c>
      <c r="K40" s="57">
        <v>320</v>
      </c>
      <c r="L40" s="57">
        <v>1</v>
      </c>
      <c r="O40" s="73"/>
      <c r="AC40" s="81">
        <v>37</v>
      </c>
      <c r="AD40" s="81">
        <v>-3</v>
      </c>
    </row>
    <row r="41" s="53" customFormat="1" spans="1:30">
      <c r="A41" s="61">
        <v>59479</v>
      </c>
      <c r="B41" s="57" t="s">
        <v>146</v>
      </c>
      <c r="C41" s="62" t="s">
        <v>147</v>
      </c>
      <c r="D41" s="57" t="s">
        <v>29</v>
      </c>
      <c r="F41" s="57">
        <v>0</v>
      </c>
      <c r="G41" s="57">
        <v>1</v>
      </c>
      <c r="H41" s="57">
        <v>19</v>
      </c>
      <c r="I41" s="57">
        <v>22</v>
      </c>
      <c r="J41" s="71">
        <v>0.157894736842105</v>
      </c>
      <c r="K41" s="57">
        <v>362.3</v>
      </c>
      <c r="L41" s="57">
        <v>0</v>
      </c>
      <c r="O41" s="73"/>
      <c r="AC41" s="81">
        <v>39</v>
      </c>
      <c r="AD41" s="81">
        <v>-1</v>
      </c>
    </row>
    <row r="42" s="53" customFormat="1" spans="1:30">
      <c r="A42" s="59">
        <v>22247</v>
      </c>
      <c r="B42" s="64" t="s">
        <v>57</v>
      </c>
      <c r="C42" s="83" t="s">
        <v>70</v>
      </c>
      <c r="D42" s="57" t="s">
        <v>29</v>
      </c>
      <c r="F42" s="57">
        <v>0</v>
      </c>
      <c r="G42" s="57">
        <v>1</v>
      </c>
      <c r="H42" s="57">
        <v>106</v>
      </c>
      <c r="I42" s="57">
        <v>25</v>
      </c>
      <c r="J42" s="71">
        <v>-0.764150943396226</v>
      </c>
      <c r="K42" s="57">
        <v>348.5</v>
      </c>
      <c r="L42" s="57">
        <v>1</v>
      </c>
      <c r="O42" s="73"/>
      <c r="AC42" s="81">
        <v>126</v>
      </c>
      <c r="AD42" s="81">
        <v>86</v>
      </c>
    </row>
    <row r="43" s="53" customFormat="1" spans="1:30">
      <c r="A43" s="59">
        <v>23550</v>
      </c>
      <c r="B43" s="59" t="s">
        <v>175</v>
      </c>
      <c r="C43" s="60" t="s">
        <v>218</v>
      </c>
      <c r="D43" s="64" t="s">
        <v>29</v>
      </c>
      <c r="F43" s="57">
        <v>2</v>
      </c>
      <c r="G43" s="57">
        <v>1</v>
      </c>
      <c r="H43" s="57">
        <v>41</v>
      </c>
      <c r="I43" s="57">
        <v>28</v>
      </c>
      <c r="J43" s="71">
        <v>-0.317073170731707</v>
      </c>
      <c r="K43" s="57">
        <v>377.6</v>
      </c>
      <c r="L43" s="57">
        <v>5</v>
      </c>
      <c r="O43" s="73"/>
      <c r="AC43" s="81"/>
      <c r="AD43" s="81"/>
    </row>
    <row r="44" s="53" customFormat="1" spans="1:30">
      <c r="A44" s="59">
        <v>52339</v>
      </c>
      <c r="B44" s="64" t="s">
        <v>57</v>
      </c>
      <c r="C44" s="83" t="s">
        <v>89</v>
      </c>
      <c r="D44" s="57" t="s">
        <v>29</v>
      </c>
      <c r="F44" s="57">
        <v>2</v>
      </c>
      <c r="G44" s="57">
        <v>1</v>
      </c>
      <c r="H44" s="57">
        <v>61</v>
      </c>
      <c r="I44" s="57">
        <v>35</v>
      </c>
      <c r="J44" s="71">
        <v>-0.426229508196721</v>
      </c>
      <c r="K44" s="57">
        <v>526</v>
      </c>
      <c r="L44" s="57">
        <v>0</v>
      </c>
      <c r="O44" s="73"/>
      <c r="AC44" s="81">
        <v>81</v>
      </c>
      <c r="AD44" s="81">
        <v>41</v>
      </c>
    </row>
    <row r="45" s="53" customFormat="1" spans="1:30">
      <c r="A45" s="59">
        <v>75412</v>
      </c>
      <c r="B45" s="59" t="s">
        <v>57</v>
      </c>
      <c r="C45" s="60" t="s">
        <v>201</v>
      </c>
      <c r="D45" s="64" t="s">
        <v>29</v>
      </c>
      <c r="F45" s="57">
        <v>0</v>
      </c>
      <c r="G45" s="57">
        <v>1</v>
      </c>
      <c r="H45" s="57">
        <v>36</v>
      </c>
      <c r="I45" s="57">
        <v>35</v>
      </c>
      <c r="J45" s="71">
        <v>-0.0277777777777778</v>
      </c>
      <c r="K45" s="57">
        <v>540</v>
      </c>
      <c r="L45" s="57">
        <v>2</v>
      </c>
      <c r="O45" s="73"/>
      <c r="AC45" s="81"/>
      <c r="AD45" s="81"/>
    </row>
    <row r="46" s="53" customFormat="1" spans="1:30">
      <c r="A46" s="57">
        <v>52338</v>
      </c>
      <c r="B46" s="59" t="s">
        <v>117</v>
      </c>
      <c r="C46" s="60" t="s">
        <v>183</v>
      </c>
      <c r="D46" s="57" t="s">
        <v>29</v>
      </c>
      <c r="F46" s="57">
        <v>2</v>
      </c>
      <c r="G46" s="57">
        <v>1</v>
      </c>
      <c r="H46" s="57">
        <v>61</v>
      </c>
      <c r="I46" s="57">
        <v>37</v>
      </c>
      <c r="J46" s="71">
        <v>-0.39344262295082</v>
      </c>
      <c r="K46" s="57">
        <v>530.5</v>
      </c>
      <c r="L46" s="57">
        <v>1</v>
      </c>
      <c r="O46" s="73"/>
      <c r="AC46" s="81">
        <v>81</v>
      </c>
      <c r="AD46" s="81">
        <v>41</v>
      </c>
    </row>
    <row r="47" s="53" customFormat="1" spans="1:30">
      <c r="A47" s="59">
        <v>52938</v>
      </c>
      <c r="B47" s="64" t="s">
        <v>57</v>
      </c>
      <c r="C47" s="83" t="s">
        <v>90</v>
      </c>
      <c r="D47" s="57" t="s">
        <v>29</v>
      </c>
      <c r="F47" s="57">
        <v>1</v>
      </c>
      <c r="G47" s="57">
        <v>1</v>
      </c>
      <c r="H47" s="57">
        <v>49</v>
      </c>
      <c r="I47" s="57">
        <v>42</v>
      </c>
      <c r="J47" s="71">
        <v>-0.142857142857143</v>
      </c>
      <c r="K47" s="57">
        <v>617</v>
      </c>
      <c r="L47" s="57">
        <v>3</v>
      </c>
      <c r="O47" s="73"/>
      <c r="AC47" s="81">
        <v>69</v>
      </c>
      <c r="AD47" s="81">
        <v>29</v>
      </c>
    </row>
    <row r="48" s="54" customFormat="1" spans="1:30">
      <c r="A48" s="61">
        <v>74081</v>
      </c>
      <c r="B48" s="57" t="s">
        <v>27</v>
      </c>
      <c r="C48" s="62" t="s">
        <v>28</v>
      </c>
      <c r="D48" s="57" t="s">
        <v>29</v>
      </c>
      <c r="E48" s="53"/>
      <c r="F48" s="57">
        <v>2</v>
      </c>
      <c r="G48" s="57">
        <v>1</v>
      </c>
      <c r="H48" s="57">
        <v>192</v>
      </c>
      <c r="I48" s="57">
        <v>50</v>
      </c>
      <c r="J48" s="71">
        <v>-0.739583333333333</v>
      </c>
      <c r="K48" s="57">
        <v>812.4</v>
      </c>
      <c r="L48" s="57">
        <v>0</v>
      </c>
      <c r="M48" s="57"/>
      <c r="N48" s="57"/>
      <c r="O48" s="74"/>
      <c r="P48" s="57"/>
      <c r="Q48" s="57"/>
      <c r="R48" s="57"/>
      <c r="S48" s="57"/>
      <c r="T48" s="57"/>
      <c r="U48" s="53"/>
      <c r="V48" s="53"/>
      <c r="W48" s="53"/>
      <c r="X48" s="53"/>
      <c r="Y48" s="53"/>
      <c r="Z48" s="53"/>
      <c r="AA48" s="53"/>
      <c r="AB48" s="53"/>
      <c r="AC48" s="81">
        <v>212</v>
      </c>
      <c r="AD48" s="81">
        <v>172</v>
      </c>
    </row>
    <row r="49" s="54" customFormat="1" spans="1:30">
      <c r="A49" s="59">
        <v>57302</v>
      </c>
      <c r="B49" s="59" t="s">
        <v>57</v>
      </c>
      <c r="C49" s="65" t="s">
        <v>174</v>
      </c>
      <c r="D49" s="59" t="s">
        <v>29</v>
      </c>
      <c r="E49" s="53"/>
      <c r="F49" s="57">
        <v>3</v>
      </c>
      <c r="G49" s="57">
        <v>1</v>
      </c>
      <c r="H49" s="57">
        <v>52</v>
      </c>
      <c r="I49" s="57">
        <v>79</v>
      </c>
      <c r="J49" s="71">
        <v>0.519230769230769</v>
      </c>
      <c r="K49" s="57">
        <v>1249.4</v>
      </c>
      <c r="L49" s="57">
        <v>1</v>
      </c>
      <c r="M49" s="53"/>
      <c r="N49" s="53"/>
      <c r="O49" s="7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81">
        <v>72</v>
      </c>
      <c r="AD49" s="81">
        <v>32</v>
      </c>
    </row>
    <row r="50" s="54" customFormat="1" spans="1:30">
      <c r="A50" s="59">
        <v>67234</v>
      </c>
      <c r="B50" s="64" t="s">
        <v>57</v>
      </c>
      <c r="C50" s="83" t="s">
        <v>58</v>
      </c>
      <c r="D50" s="57" t="s">
        <v>29</v>
      </c>
      <c r="E50" s="56"/>
      <c r="F50" s="57">
        <v>3</v>
      </c>
      <c r="G50" s="57">
        <v>1</v>
      </c>
      <c r="H50" s="57">
        <v>246</v>
      </c>
      <c r="I50" s="57">
        <v>114</v>
      </c>
      <c r="J50" s="71">
        <v>-0.536585365853659</v>
      </c>
      <c r="K50" s="57">
        <v>1817.7</v>
      </c>
      <c r="L50" s="57">
        <v>2</v>
      </c>
      <c r="M50" s="53"/>
      <c r="N50" s="53"/>
      <c r="O50" s="7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81">
        <v>266</v>
      </c>
      <c r="AD50" s="81">
        <v>226</v>
      </c>
    </row>
    <row r="51" s="53" customFormat="1" spans="1:30">
      <c r="A51" s="61">
        <v>33523</v>
      </c>
      <c r="B51" s="57" t="s">
        <v>159</v>
      </c>
      <c r="C51" s="62" t="s">
        <v>161</v>
      </c>
      <c r="D51" s="57" t="s">
        <v>29</v>
      </c>
      <c r="F51" s="57">
        <v>1</v>
      </c>
      <c r="G51" s="57">
        <v>0</v>
      </c>
      <c r="H51" s="57">
        <v>4</v>
      </c>
      <c r="I51" s="57">
        <v>5</v>
      </c>
      <c r="J51" s="71">
        <v>0.25</v>
      </c>
      <c r="K51" s="57">
        <v>50.2</v>
      </c>
      <c r="L51" s="57">
        <v>2</v>
      </c>
      <c r="O51" s="73"/>
      <c r="AC51" s="81">
        <v>24</v>
      </c>
      <c r="AD51" s="81">
        <v>-16</v>
      </c>
    </row>
    <row r="52" s="53" customFormat="1" spans="1:30">
      <c r="A52" s="61">
        <v>22169</v>
      </c>
      <c r="B52" s="57" t="s">
        <v>110</v>
      </c>
      <c r="C52" s="62" t="s">
        <v>135</v>
      </c>
      <c r="D52" s="57" t="s">
        <v>29</v>
      </c>
      <c r="F52" s="57">
        <v>0</v>
      </c>
      <c r="G52" s="57">
        <v>0</v>
      </c>
      <c r="H52" s="57">
        <v>49</v>
      </c>
      <c r="I52" s="57">
        <v>10</v>
      </c>
      <c r="J52" s="71">
        <v>-0.795918367346939</v>
      </c>
      <c r="K52" s="57">
        <v>147.1</v>
      </c>
      <c r="L52" s="57">
        <v>0</v>
      </c>
      <c r="O52" s="73"/>
      <c r="AC52" s="81">
        <v>69</v>
      </c>
      <c r="AD52" s="81">
        <v>29</v>
      </c>
    </row>
    <row r="53" s="53" customFormat="1" spans="1:30">
      <c r="A53" s="61">
        <v>33517</v>
      </c>
      <c r="B53" s="57" t="s">
        <v>117</v>
      </c>
      <c r="C53" s="62" t="s">
        <v>122</v>
      </c>
      <c r="D53" s="57" t="s">
        <v>29</v>
      </c>
      <c r="F53" s="57">
        <v>2</v>
      </c>
      <c r="G53" s="57">
        <v>0</v>
      </c>
      <c r="H53" s="57">
        <v>15</v>
      </c>
      <c r="I53" s="57">
        <v>19</v>
      </c>
      <c r="J53" s="71">
        <v>0.266666666666667</v>
      </c>
      <c r="K53" s="57">
        <v>265.6</v>
      </c>
      <c r="L53" s="57">
        <v>2</v>
      </c>
      <c r="O53" s="73"/>
      <c r="AC53" s="81">
        <v>35</v>
      </c>
      <c r="AD53" s="81">
        <v>-5</v>
      </c>
    </row>
    <row r="54" s="53" customFormat="1" spans="1:30">
      <c r="A54" s="61">
        <v>22209</v>
      </c>
      <c r="B54" s="57" t="s">
        <v>110</v>
      </c>
      <c r="C54" s="62" t="s">
        <v>136</v>
      </c>
      <c r="D54" s="57" t="s">
        <v>29</v>
      </c>
      <c r="F54" s="57">
        <v>0</v>
      </c>
      <c r="G54" s="57">
        <v>0</v>
      </c>
      <c r="H54" s="57">
        <v>26</v>
      </c>
      <c r="I54" s="57">
        <v>29</v>
      </c>
      <c r="J54" s="71">
        <v>0.115384615384615</v>
      </c>
      <c r="K54" s="57">
        <v>402.6</v>
      </c>
      <c r="L54" s="57">
        <v>0</v>
      </c>
      <c r="O54" s="73"/>
      <c r="AC54" s="81">
        <v>46</v>
      </c>
      <c r="AD54" s="81">
        <v>6</v>
      </c>
    </row>
    <row r="55" s="53" customFormat="1" spans="1:30">
      <c r="A55" s="59">
        <v>22220</v>
      </c>
      <c r="B55" s="59" t="s">
        <v>20</v>
      </c>
      <c r="C55" s="65" t="s">
        <v>192</v>
      </c>
      <c r="D55" s="64" t="s">
        <v>29</v>
      </c>
      <c r="F55" s="57">
        <v>0</v>
      </c>
      <c r="G55" s="57">
        <v>0</v>
      </c>
      <c r="H55" s="57">
        <v>223</v>
      </c>
      <c r="I55" s="57">
        <v>66</v>
      </c>
      <c r="J55" s="71">
        <v>-0.704035874439462</v>
      </c>
      <c r="K55" s="57">
        <v>959.9</v>
      </c>
      <c r="L55" s="57">
        <v>0</v>
      </c>
      <c r="O55" s="73"/>
      <c r="AC55" s="81"/>
      <c r="AD55" s="81"/>
    </row>
    <row r="56" s="53" customFormat="1" spans="1:30">
      <c r="A56" s="61">
        <v>71811</v>
      </c>
      <c r="B56" s="57" t="s">
        <v>27</v>
      </c>
      <c r="C56" s="62" t="s">
        <v>126</v>
      </c>
      <c r="D56" s="57" t="s">
        <v>29</v>
      </c>
      <c r="F56" s="57">
        <v>1</v>
      </c>
      <c r="G56" s="57">
        <v>0</v>
      </c>
      <c r="H56" s="57">
        <v>64</v>
      </c>
      <c r="I56" s="57">
        <v>67</v>
      </c>
      <c r="J56" s="71">
        <v>0.046875</v>
      </c>
      <c r="K56" s="57">
        <v>1039</v>
      </c>
      <c r="L56" s="57">
        <v>0</v>
      </c>
      <c r="O56" s="73"/>
      <c r="AC56" s="81">
        <v>84</v>
      </c>
      <c r="AD56" s="81">
        <v>44</v>
      </c>
    </row>
    <row r="57" s="53" customFormat="1" spans="1:30">
      <c r="A57" s="59">
        <v>23396</v>
      </c>
      <c r="B57" s="59" t="s">
        <v>20</v>
      </c>
      <c r="C57" s="65" t="s">
        <v>193</v>
      </c>
      <c r="D57" s="64" t="s">
        <v>29</v>
      </c>
      <c r="F57" s="57">
        <v>0</v>
      </c>
      <c r="G57" s="57">
        <v>0</v>
      </c>
      <c r="H57" s="57">
        <v>82</v>
      </c>
      <c r="I57" s="57">
        <v>68</v>
      </c>
      <c r="J57" s="71">
        <v>-0.170731707317073</v>
      </c>
      <c r="K57" s="57">
        <v>996.1</v>
      </c>
      <c r="L57" s="57">
        <v>0</v>
      </c>
      <c r="O57" s="73"/>
      <c r="AC57" s="81"/>
      <c r="AD57" s="81"/>
    </row>
    <row r="58" s="53" customFormat="1" spans="1:30">
      <c r="A58" s="66">
        <v>23479</v>
      </c>
      <c r="B58" s="67" t="s">
        <v>20</v>
      </c>
      <c r="C58" s="68" t="s">
        <v>46</v>
      </c>
      <c r="D58" s="67" t="s">
        <v>29</v>
      </c>
      <c r="E58" s="54"/>
      <c r="F58" s="67">
        <v>0</v>
      </c>
      <c r="G58" s="67">
        <v>0</v>
      </c>
      <c r="H58" s="67" t="e">
        <v>#N/A</v>
      </c>
      <c r="I58" s="67" t="e">
        <v>#N/A</v>
      </c>
      <c r="J58" s="77" t="e">
        <v>#N/A</v>
      </c>
      <c r="K58" s="67" t="e">
        <v>#N/A</v>
      </c>
      <c r="L58" s="67" t="e">
        <v>#N/A</v>
      </c>
      <c r="M58" s="67"/>
      <c r="N58" s="67"/>
      <c r="O58" s="78"/>
      <c r="P58" s="67"/>
      <c r="Q58" s="67"/>
      <c r="R58" s="67"/>
      <c r="S58" s="67"/>
      <c r="T58" s="89"/>
      <c r="U58" s="54"/>
      <c r="V58" s="54"/>
      <c r="W58" s="54"/>
      <c r="X58" s="54"/>
      <c r="Y58" s="54"/>
      <c r="Z58" s="54"/>
      <c r="AA58" s="54"/>
      <c r="AB58" s="54"/>
      <c r="AC58" s="82" t="e">
        <v>#N/A</v>
      </c>
      <c r="AD58" s="82" t="e">
        <v>#N/A</v>
      </c>
    </row>
    <row r="59" s="53" customFormat="1" spans="1:30">
      <c r="A59" s="66">
        <v>29353</v>
      </c>
      <c r="B59" s="67" t="s">
        <v>57</v>
      </c>
      <c r="C59" s="68" t="s">
        <v>74</v>
      </c>
      <c r="D59" s="67" t="s">
        <v>29</v>
      </c>
      <c r="E59" s="54"/>
      <c r="F59" s="67">
        <v>0</v>
      </c>
      <c r="G59" s="67">
        <v>0</v>
      </c>
      <c r="H59" s="67" t="e">
        <v>#N/A</v>
      </c>
      <c r="I59" s="67" t="e">
        <v>#N/A</v>
      </c>
      <c r="J59" s="77" t="e">
        <v>#N/A</v>
      </c>
      <c r="K59" s="67" t="e">
        <v>#N/A</v>
      </c>
      <c r="L59" s="67" t="e">
        <v>#N/A</v>
      </c>
      <c r="M59" s="54"/>
      <c r="N59" s="54"/>
      <c r="O59" s="86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82" t="e">
        <v>#N/A</v>
      </c>
      <c r="AD59" s="82" t="e">
        <v>#N/A</v>
      </c>
    </row>
    <row r="60" s="53" customFormat="1" spans="1:30">
      <c r="A60" s="66">
        <v>29359</v>
      </c>
      <c r="B60" s="67" t="s">
        <v>57</v>
      </c>
      <c r="C60" s="68" t="s">
        <v>75</v>
      </c>
      <c r="D60" s="67" t="s">
        <v>29</v>
      </c>
      <c r="E60" s="54"/>
      <c r="F60" s="67">
        <v>0</v>
      </c>
      <c r="G60" s="67">
        <v>0</v>
      </c>
      <c r="H60" s="67" t="e">
        <v>#N/A</v>
      </c>
      <c r="I60" s="67" t="e">
        <v>#N/A</v>
      </c>
      <c r="J60" s="77" t="e">
        <v>#N/A</v>
      </c>
      <c r="K60" s="67" t="e">
        <v>#N/A</v>
      </c>
      <c r="L60" s="67" t="e">
        <v>#N/A</v>
      </c>
      <c r="M60" s="54"/>
      <c r="N60" s="54"/>
      <c r="O60" s="86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82" t="e">
        <v>#N/A</v>
      </c>
      <c r="AD60" s="82" t="e">
        <v>#N/A</v>
      </c>
    </row>
    <row r="61" s="53" customFormat="1" spans="1:30">
      <c r="A61" s="66">
        <v>33429</v>
      </c>
      <c r="B61" s="67" t="s">
        <v>57</v>
      </c>
      <c r="C61" s="68" t="s">
        <v>80</v>
      </c>
      <c r="D61" s="67" t="s">
        <v>29</v>
      </c>
      <c r="E61" s="54"/>
      <c r="F61" s="67">
        <v>0</v>
      </c>
      <c r="G61" s="67">
        <v>0</v>
      </c>
      <c r="H61" s="67" t="e">
        <v>#N/A</v>
      </c>
      <c r="I61" s="67" t="e">
        <v>#N/A</v>
      </c>
      <c r="J61" s="77" t="e">
        <v>#N/A</v>
      </c>
      <c r="K61" s="67" t="e">
        <v>#N/A</v>
      </c>
      <c r="L61" s="67" t="e">
        <v>#N/A</v>
      </c>
      <c r="M61" s="54"/>
      <c r="N61" s="54"/>
      <c r="O61" s="86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82" t="e">
        <v>#N/A</v>
      </c>
      <c r="AD61" s="82" t="e">
        <v>#N/A</v>
      </c>
    </row>
    <row r="62" s="53" customFormat="1" spans="1:30">
      <c r="A62" s="66">
        <v>33421</v>
      </c>
      <c r="B62" s="67" t="s">
        <v>57</v>
      </c>
      <c r="C62" s="68" t="s">
        <v>81</v>
      </c>
      <c r="D62" s="67" t="s">
        <v>29</v>
      </c>
      <c r="E62" s="54"/>
      <c r="F62" s="67">
        <v>0</v>
      </c>
      <c r="G62" s="67">
        <v>0</v>
      </c>
      <c r="H62" s="67" t="e">
        <v>#N/A</v>
      </c>
      <c r="I62" s="67" t="e">
        <v>#N/A</v>
      </c>
      <c r="J62" s="77" t="e">
        <v>#N/A</v>
      </c>
      <c r="K62" s="67" t="e">
        <v>#N/A</v>
      </c>
      <c r="L62" s="67" t="e">
        <v>#N/A</v>
      </c>
      <c r="M62" s="54"/>
      <c r="N62" s="54"/>
      <c r="O62" s="86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82" t="e">
        <v>#N/A</v>
      </c>
      <c r="AD62" s="82" t="e">
        <v>#N/A</v>
      </c>
    </row>
    <row r="63" s="53" customFormat="1" spans="1:30">
      <c r="A63" s="66">
        <v>33678</v>
      </c>
      <c r="B63" s="67" t="s">
        <v>57</v>
      </c>
      <c r="C63" s="68" t="s">
        <v>87</v>
      </c>
      <c r="D63" s="67" t="s">
        <v>29</v>
      </c>
      <c r="E63" s="54"/>
      <c r="F63" s="67">
        <v>0</v>
      </c>
      <c r="G63" s="67">
        <v>0</v>
      </c>
      <c r="H63" s="67" t="e">
        <v>#N/A</v>
      </c>
      <c r="I63" s="67" t="e">
        <v>#N/A</v>
      </c>
      <c r="J63" s="77" t="e">
        <v>#N/A</v>
      </c>
      <c r="K63" s="67" t="e">
        <v>#N/A</v>
      </c>
      <c r="L63" s="67" t="e">
        <v>#N/A</v>
      </c>
      <c r="M63" s="54"/>
      <c r="N63" s="54"/>
      <c r="O63" s="86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82" t="e">
        <v>#N/A</v>
      </c>
      <c r="AD63" s="82" t="e">
        <v>#N/A</v>
      </c>
    </row>
    <row r="64" s="53" customFormat="1" spans="1:30">
      <c r="A64" s="66">
        <v>33676</v>
      </c>
      <c r="B64" s="67" t="s">
        <v>57</v>
      </c>
      <c r="C64" s="68" t="s">
        <v>88</v>
      </c>
      <c r="D64" s="67" t="s">
        <v>29</v>
      </c>
      <c r="E64" s="54"/>
      <c r="F64" s="67">
        <v>0</v>
      </c>
      <c r="G64" s="67">
        <v>0</v>
      </c>
      <c r="H64" s="67" t="e">
        <v>#N/A</v>
      </c>
      <c r="I64" s="67" t="e">
        <v>#N/A</v>
      </c>
      <c r="J64" s="77" t="e">
        <v>#N/A</v>
      </c>
      <c r="K64" s="67" t="e">
        <v>#N/A</v>
      </c>
      <c r="L64" s="67" t="e">
        <v>#N/A</v>
      </c>
      <c r="M64" s="54"/>
      <c r="N64" s="54"/>
      <c r="O64" s="86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82" t="e">
        <v>#N/A</v>
      </c>
      <c r="AD64" s="82" t="e">
        <v>#N/A</v>
      </c>
    </row>
    <row r="65" s="53" customFormat="1" spans="1:30">
      <c r="A65" s="66">
        <v>19824</v>
      </c>
      <c r="B65" s="67" t="s">
        <v>149</v>
      </c>
      <c r="C65" s="68" t="s">
        <v>150</v>
      </c>
      <c r="D65" s="67" t="s">
        <v>29</v>
      </c>
      <c r="E65" s="54"/>
      <c r="F65" s="67">
        <v>0</v>
      </c>
      <c r="G65" s="67">
        <v>0</v>
      </c>
      <c r="H65" s="67" t="e">
        <v>#N/A</v>
      </c>
      <c r="I65" s="67" t="e">
        <v>#N/A</v>
      </c>
      <c r="J65" s="77" t="e">
        <v>#N/A</v>
      </c>
      <c r="K65" s="67" t="e">
        <v>#N/A</v>
      </c>
      <c r="L65" s="67" t="e">
        <v>#N/A</v>
      </c>
      <c r="M65" s="54"/>
      <c r="N65" s="54"/>
      <c r="O65" s="86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82" t="e">
        <v>#N/A</v>
      </c>
      <c r="AD65" s="82" t="e">
        <v>#N/A</v>
      </c>
    </row>
    <row r="66" s="53" customFormat="1" spans="1:30">
      <c r="A66" s="66">
        <v>23480</v>
      </c>
      <c r="B66" s="67" t="s">
        <v>149</v>
      </c>
      <c r="C66" s="68" t="s">
        <v>151</v>
      </c>
      <c r="D66" s="67" t="s">
        <v>29</v>
      </c>
      <c r="E66" s="54"/>
      <c r="F66" s="67">
        <v>0</v>
      </c>
      <c r="G66" s="67">
        <v>0</v>
      </c>
      <c r="H66" s="67" t="e">
        <v>#N/A</v>
      </c>
      <c r="I66" s="67" t="e">
        <v>#N/A</v>
      </c>
      <c r="J66" s="77" t="e">
        <v>#N/A</v>
      </c>
      <c r="K66" s="67" t="e">
        <v>#N/A</v>
      </c>
      <c r="L66" s="67" t="e">
        <v>#N/A</v>
      </c>
      <c r="M66" s="54"/>
      <c r="N66" s="54"/>
      <c r="O66" s="86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82" t="e">
        <v>#N/A</v>
      </c>
      <c r="AD66" s="82" t="e">
        <v>#N/A</v>
      </c>
    </row>
    <row r="67" s="53" customFormat="1" spans="1:30">
      <c r="A67" s="66">
        <v>33530</v>
      </c>
      <c r="B67" s="67" t="s">
        <v>149</v>
      </c>
      <c r="C67" s="68" t="s">
        <v>152</v>
      </c>
      <c r="D67" s="67" t="s">
        <v>29</v>
      </c>
      <c r="E67" s="54"/>
      <c r="F67" s="67">
        <v>0</v>
      </c>
      <c r="G67" s="67">
        <v>0</v>
      </c>
      <c r="H67" s="67" t="e">
        <v>#N/A</v>
      </c>
      <c r="I67" s="67" t="e">
        <v>#N/A</v>
      </c>
      <c r="J67" s="77" t="e">
        <v>#N/A</v>
      </c>
      <c r="K67" s="67" t="e">
        <v>#N/A</v>
      </c>
      <c r="L67" s="67" t="e">
        <v>#N/A</v>
      </c>
      <c r="M67" s="54"/>
      <c r="N67" s="54"/>
      <c r="O67" s="86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82" t="e">
        <v>#N/A</v>
      </c>
      <c r="AD67" s="82" t="e">
        <v>#N/A</v>
      </c>
    </row>
    <row r="68" s="53" customFormat="1" spans="3:30">
      <c r="C68" s="70"/>
      <c r="O68" s="73"/>
      <c r="AC68" s="81"/>
      <c r="AD68" s="81"/>
    </row>
  </sheetData>
  <autoFilter xmlns:etc="http://www.wps.cn/officeDocument/2017/etCustomData" ref="A1:AD67" etc:filterBottomFollowUsedRange="0">
    <sortState ref="A1:AD67">
      <sortCondition ref="G1" descending="1"/>
    </sortState>
    <extLst/>
  </autoFilter>
  <conditionalFormatting sqref="I2">
    <cfRule type="expression" dxfId="1" priority="23">
      <formula>I1048367&gt;H1048367=20</formula>
    </cfRule>
    <cfRule type="expression" dxfId="1" priority="22">
      <formula>I2&gt;AC2</formula>
    </cfRule>
    <cfRule type="expression" dxfId="0" priority="21">
      <formula>I2&lt;AD2</formula>
    </cfRule>
  </conditionalFormatting>
  <conditionalFormatting sqref="I3">
    <cfRule type="expression" dxfId="1" priority="35">
      <formula>I1048369&gt;H1048369=20</formula>
    </cfRule>
    <cfRule type="expression" dxfId="1" priority="34">
      <formula>I3&gt;AC3</formula>
    </cfRule>
    <cfRule type="expression" dxfId="0" priority="33">
      <formula>I3&lt;AD3</formula>
    </cfRule>
  </conditionalFormatting>
  <conditionalFormatting sqref="I43">
    <cfRule type="expression" dxfId="1" priority="20">
      <formula>I1048443&gt;H1048443=20</formula>
    </cfRule>
    <cfRule type="expression" dxfId="1" priority="19">
      <formula>I43&gt;AC43</formula>
    </cfRule>
    <cfRule type="expression" dxfId="0" priority="18">
      <formula>I43&lt;AD43</formula>
    </cfRule>
  </conditionalFormatting>
  <conditionalFormatting sqref="I65">
    <cfRule type="expression" dxfId="1" priority="41">
      <formula>I1048502&gt;H1048502=20</formula>
    </cfRule>
    <cfRule type="expression" dxfId="1" priority="40">
      <formula>I65&gt;AC65</formula>
    </cfRule>
    <cfRule type="expression" dxfId="0" priority="39">
      <formula>I65&lt;AD65</formula>
    </cfRule>
  </conditionalFormatting>
  <conditionalFormatting sqref="I32:I36">
    <cfRule type="expression" dxfId="1" priority="38">
      <formula>I1048401&gt;H1048401=20</formula>
    </cfRule>
    <cfRule type="expression" dxfId="1" priority="37">
      <formula>I32&gt;AC32</formula>
    </cfRule>
    <cfRule type="expression" dxfId="0" priority="36">
      <formula>I32&lt;AD32</formula>
    </cfRule>
  </conditionalFormatting>
  <conditionalFormatting sqref="I37:I38">
    <cfRule type="expression" dxfId="1" priority="29">
      <formula>I1048416&gt;H1048416=20</formula>
    </cfRule>
    <cfRule type="expression" dxfId="1" priority="28">
      <formula>I37&gt;AC37</formula>
    </cfRule>
    <cfRule type="expression" dxfId="0" priority="27">
      <formula>I37&lt;AD37</formula>
    </cfRule>
  </conditionalFormatting>
  <conditionalFormatting sqref="I39:I42">
    <cfRule type="expression" dxfId="1" priority="14">
      <formula>I1048420&gt;H1048420=20</formula>
    </cfRule>
    <cfRule type="expression" dxfId="1" priority="13">
      <formula>I39&gt;AC39</formula>
    </cfRule>
    <cfRule type="expression" dxfId="0" priority="12">
      <formula>I39&lt;AD39</formula>
    </cfRule>
  </conditionalFormatting>
  <conditionalFormatting sqref="I44:I45">
    <cfRule type="expression" dxfId="1" priority="44">
      <formula>I1048446&gt;H1048446=20</formula>
    </cfRule>
    <cfRule type="expression" dxfId="1" priority="43">
      <formula>I44&gt;AC44</formula>
    </cfRule>
    <cfRule type="expression" dxfId="0" priority="42">
      <formula>I44&lt;AD44</formula>
    </cfRule>
  </conditionalFormatting>
  <conditionalFormatting sqref="I46:I48">
    <cfRule type="expression" dxfId="1" priority="11">
      <formula>I1048451&gt;H1048451=20</formula>
    </cfRule>
    <cfRule type="expression" dxfId="1" priority="10">
      <formula>I46&gt;AC46</formula>
    </cfRule>
    <cfRule type="expression" dxfId="0" priority="9">
      <formula>I46&lt;AD46</formula>
    </cfRule>
  </conditionalFormatting>
  <conditionalFormatting sqref="I54:I57">
    <cfRule type="expression" dxfId="1" priority="26">
      <formula>I1048461&gt;H1048461=20</formula>
    </cfRule>
    <cfRule type="expression" dxfId="1" priority="25">
      <formula>I54&gt;AC54</formula>
    </cfRule>
    <cfRule type="expression" dxfId="0" priority="24">
      <formula>I54&lt;AD54</formula>
    </cfRule>
  </conditionalFormatting>
  <conditionalFormatting sqref="I58:I59">
    <cfRule type="expression" dxfId="1" priority="5">
      <formula>I1048467&gt;H1048467=20</formula>
    </cfRule>
    <cfRule type="expression" dxfId="1" priority="4">
      <formula>I58&gt;AC58</formula>
    </cfRule>
    <cfRule type="expression" dxfId="0" priority="3">
      <formula>I58&lt;AD58</formula>
    </cfRule>
  </conditionalFormatting>
  <conditionalFormatting sqref="J2 J3 J4 J5 J6:J36 J37:J42 J43 J44:J45 J46:J50 J51:J53 J54:J57 J58:J59 J60:J61 J62 J63:J64 J65 J66 J67">
    <cfRule type="cellIs" dxfId="3" priority="2" operator="greaterThan">
      <formula>0.2</formula>
    </cfRule>
    <cfRule type="cellIs" dxfId="2" priority="1" operator="lessThan">
      <formula>-0.2</formula>
    </cfRule>
  </conditionalFormatting>
  <conditionalFormatting sqref="I4 I5 I6:I31">
    <cfRule type="expression" dxfId="1" priority="32">
      <formula>I1048372&gt;H1048372=20</formula>
    </cfRule>
    <cfRule type="expression" dxfId="1" priority="31">
      <formula>I4&gt;AC4</formula>
    </cfRule>
    <cfRule type="expression" dxfId="0" priority="30">
      <formula>I4&lt;AD4</formula>
    </cfRule>
  </conditionalFormatting>
  <conditionalFormatting sqref="I49:I50 I51:I53">
    <cfRule type="expression" dxfId="1" priority="8">
      <formula>I1048455&gt;H1048455=20</formula>
    </cfRule>
    <cfRule type="expression" dxfId="1" priority="7">
      <formula>I49&gt;AC49</formula>
    </cfRule>
    <cfRule type="expression" dxfId="0" priority="6">
      <formula>I49&lt;AD49</formula>
    </cfRule>
  </conditionalFormatting>
  <conditionalFormatting sqref="I60:I61 I62 I63:I64">
    <cfRule type="expression" dxfId="1" priority="17">
      <formula>I1048496&gt;H1048496=20</formula>
    </cfRule>
    <cfRule type="expression" dxfId="1" priority="16">
      <formula>I60&gt;AC60</formula>
    </cfRule>
    <cfRule type="expression" dxfId="0" priority="15">
      <formula>I60&lt;AD60</formula>
    </cfRule>
  </conditionalFormatting>
  <conditionalFormatting sqref="I66 I67">
    <cfRule type="expression" dxfId="1" priority="47">
      <formula>I1048504&gt;H1048504=20</formula>
    </cfRule>
    <cfRule type="expression" dxfId="1" priority="46">
      <formula>I66&gt;AC66</formula>
    </cfRule>
    <cfRule type="expression" dxfId="0" priority="45">
      <formula>I66&lt;AD66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77"/>
  <sheetViews>
    <sheetView zoomScale="130" zoomScaleNormal="130" workbookViewId="0">
      <selection activeCell="I6" sqref="I6"/>
    </sheetView>
  </sheetViews>
  <sheetFormatPr defaultColWidth="9" defaultRowHeight="15.75"/>
  <cols>
    <col min="3" max="3" width="40.375" customWidth="1"/>
    <col min="9" max="9" width="13.75" customWidth="1"/>
  </cols>
  <sheetData>
    <row r="1" s="52" customFormat="1" ht="40.8" customHeight="1" spans="1:30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79" t="s">
        <v>19</v>
      </c>
      <c r="AC1" s="80"/>
      <c r="AD1" s="80"/>
    </row>
    <row r="2" s="53" customFormat="1" ht="19.05" customHeight="1" spans="1:30">
      <c r="A2" s="61">
        <v>67235</v>
      </c>
      <c r="B2" s="57" t="s">
        <v>170</v>
      </c>
      <c r="C2" s="83" t="s">
        <v>172</v>
      </c>
      <c r="D2" s="57" t="s">
        <v>36</v>
      </c>
      <c r="F2" s="57">
        <v>2</v>
      </c>
      <c r="G2" s="57">
        <v>2</v>
      </c>
      <c r="H2" s="57">
        <v>45</v>
      </c>
      <c r="I2" s="57">
        <v>50</v>
      </c>
      <c r="J2" s="71">
        <v>0.111111111111111</v>
      </c>
      <c r="K2" s="57">
        <v>588.88</v>
      </c>
      <c r="L2" s="57">
        <v>0</v>
      </c>
      <c r="O2" s="73"/>
      <c r="AC2" s="81">
        <v>65</v>
      </c>
      <c r="AD2" s="81">
        <v>25</v>
      </c>
    </row>
    <row r="3" s="54" customFormat="1" spans="1:30">
      <c r="A3" s="61">
        <v>68718</v>
      </c>
      <c r="B3" s="57" t="s">
        <v>170</v>
      </c>
      <c r="C3" s="83" t="s">
        <v>173</v>
      </c>
      <c r="D3" s="57" t="s">
        <v>36</v>
      </c>
      <c r="E3" s="53"/>
      <c r="F3" s="57">
        <v>2</v>
      </c>
      <c r="G3" s="57">
        <v>2</v>
      </c>
      <c r="H3" s="57">
        <v>22</v>
      </c>
      <c r="I3" s="57">
        <v>22</v>
      </c>
      <c r="J3" s="71">
        <v>0</v>
      </c>
      <c r="K3" s="57">
        <v>246.68</v>
      </c>
      <c r="L3" s="57">
        <v>0</v>
      </c>
      <c r="M3" s="53"/>
      <c r="N3" s="53"/>
      <c r="O3" s="7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81">
        <v>42</v>
      </c>
      <c r="AD3" s="81">
        <v>2</v>
      </c>
    </row>
    <row r="4" s="53" customFormat="1" spans="1:30">
      <c r="A4" s="61">
        <v>66130</v>
      </c>
      <c r="B4" s="57" t="s">
        <v>170</v>
      </c>
      <c r="C4" s="62" t="s">
        <v>171</v>
      </c>
      <c r="D4" s="57" t="s">
        <v>36</v>
      </c>
      <c r="F4" s="57">
        <v>2</v>
      </c>
      <c r="G4" s="57">
        <v>2</v>
      </c>
      <c r="H4" s="57">
        <v>16</v>
      </c>
      <c r="I4" s="57">
        <v>30</v>
      </c>
      <c r="J4" s="71">
        <v>0.875</v>
      </c>
      <c r="K4" s="57">
        <v>316.7</v>
      </c>
      <c r="L4" s="57">
        <v>0</v>
      </c>
      <c r="O4" s="73"/>
      <c r="AC4" s="81">
        <v>36</v>
      </c>
      <c r="AD4" s="81">
        <v>-4</v>
      </c>
    </row>
    <row r="5" s="53" customFormat="1" spans="1:30">
      <c r="A5" s="61">
        <v>68719</v>
      </c>
      <c r="B5" s="59" t="s">
        <v>181</v>
      </c>
      <c r="C5" s="58" t="s">
        <v>182</v>
      </c>
      <c r="D5" s="57" t="s">
        <v>36</v>
      </c>
      <c r="F5" s="57">
        <v>3</v>
      </c>
      <c r="G5" s="57">
        <v>2</v>
      </c>
      <c r="H5" s="57">
        <v>55</v>
      </c>
      <c r="I5" s="57">
        <v>64</v>
      </c>
      <c r="J5" s="71">
        <v>0.163636363636364</v>
      </c>
      <c r="K5" s="57">
        <v>192</v>
      </c>
      <c r="L5" s="57">
        <v>2</v>
      </c>
      <c r="O5" s="73"/>
      <c r="AC5" s="81">
        <v>75</v>
      </c>
      <c r="AD5" s="81">
        <v>35</v>
      </c>
    </row>
    <row r="6" s="53" customFormat="1" spans="1:30">
      <c r="A6" s="59">
        <v>71352</v>
      </c>
      <c r="B6" s="59" t="s">
        <v>162</v>
      </c>
      <c r="C6" s="60" t="s">
        <v>224</v>
      </c>
      <c r="D6" s="57" t="s">
        <v>36</v>
      </c>
      <c r="F6" s="57">
        <v>0</v>
      </c>
      <c r="G6" s="57">
        <v>2</v>
      </c>
      <c r="H6" s="57">
        <v>51</v>
      </c>
      <c r="I6" s="57">
        <v>86</v>
      </c>
      <c r="J6" s="71">
        <v>0.686274509803922</v>
      </c>
      <c r="K6" s="57">
        <v>645.13</v>
      </c>
      <c r="L6" s="57">
        <v>66</v>
      </c>
      <c r="O6" s="73"/>
      <c r="AC6" s="81"/>
      <c r="AD6" s="81"/>
    </row>
    <row r="7" s="53" customFormat="1" spans="1:30">
      <c r="A7" s="59">
        <v>79338</v>
      </c>
      <c r="B7" s="59" t="s">
        <v>162</v>
      </c>
      <c r="C7" s="65" t="s">
        <v>194</v>
      </c>
      <c r="D7" s="57" t="s">
        <v>36</v>
      </c>
      <c r="F7" s="57">
        <v>2</v>
      </c>
      <c r="G7" s="57">
        <v>2</v>
      </c>
      <c r="H7" s="57">
        <v>21</v>
      </c>
      <c r="I7" s="57">
        <v>16</v>
      </c>
      <c r="J7" s="71">
        <v>-0.238095238095238</v>
      </c>
      <c r="K7" s="57">
        <v>151.5</v>
      </c>
      <c r="L7" s="57">
        <v>4</v>
      </c>
      <c r="O7" s="73"/>
      <c r="AC7" s="81"/>
      <c r="AD7" s="81"/>
    </row>
    <row r="8" s="53" customFormat="1" spans="1:30">
      <c r="A8" s="59">
        <v>79339</v>
      </c>
      <c r="B8" s="59" t="s">
        <v>162</v>
      </c>
      <c r="C8" s="65" t="s">
        <v>186</v>
      </c>
      <c r="D8" s="57" t="s">
        <v>36</v>
      </c>
      <c r="F8" s="57">
        <v>2</v>
      </c>
      <c r="G8" s="57">
        <v>2</v>
      </c>
      <c r="H8" s="57">
        <v>14</v>
      </c>
      <c r="I8" s="57">
        <v>20</v>
      </c>
      <c r="J8" s="71">
        <v>0.428571428571429</v>
      </c>
      <c r="K8" s="57">
        <v>209.5</v>
      </c>
      <c r="L8" s="57">
        <v>0</v>
      </c>
      <c r="O8" s="73"/>
      <c r="AC8" s="81">
        <v>34</v>
      </c>
      <c r="AD8" s="81">
        <v>-6</v>
      </c>
    </row>
    <row r="9" s="53" customFormat="1" hidden="1" spans="1:30">
      <c r="A9" s="66">
        <v>33431</v>
      </c>
      <c r="B9" s="66" t="s">
        <v>162</v>
      </c>
      <c r="C9" s="84" t="s">
        <v>195</v>
      </c>
      <c r="D9" s="67" t="s">
        <v>36</v>
      </c>
      <c r="E9" s="54"/>
      <c r="F9" s="67">
        <v>0</v>
      </c>
      <c r="G9" s="67">
        <v>0</v>
      </c>
      <c r="H9" s="67" t="e">
        <v>#N/A</v>
      </c>
      <c r="I9" s="67" t="e">
        <v>#N/A</v>
      </c>
      <c r="J9" s="77" t="e">
        <v>#N/A</v>
      </c>
      <c r="K9" s="67" t="e">
        <v>#N/A</v>
      </c>
      <c r="L9" s="67" t="e">
        <v>#N/A</v>
      </c>
      <c r="M9" s="54"/>
      <c r="N9" s="54"/>
      <c r="O9" s="86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82"/>
      <c r="AD9" s="82"/>
    </row>
    <row r="10" s="53" customFormat="1" spans="1:30">
      <c r="A10" s="61">
        <v>26039</v>
      </c>
      <c r="B10" s="57" t="s">
        <v>20</v>
      </c>
      <c r="C10" s="62" t="s">
        <v>35</v>
      </c>
      <c r="D10" s="57" t="s">
        <v>36</v>
      </c>
      <c r="F10" s="57">
        <v>1</v>
      </c>
      <c r="G10" s="57">
        <v>2</v>
      </c>
      <c r="H10" s="57">
        <v>11</v>
      </c>
      <c r="I10" s="57">
        <v>10</v>
      </c>
      <c r="J10" s="71">
        <v>-0.0909090909090909</v>
      </c>
      <c r="K10" s="57">
        <v>110</v>
      </c>
      <c r="L10" s="57">
        <v>1</v>
      </c>
      <c r="M10" s="57"/>
      <c r="N10" s="57"/>
      <c r="O10" s="74"/>
      <c r="P10" s="57"/>
      <c r="Q10" s="57"/>
      <c r="R10" s="57"/>
      <c r="S10" s="57"/>
      <c r="T10" s="57"/>
      <c r="AC10" s="81">
        <v>31</v>
      </c>
      <c r="AD10" s="81">
        <v>-9</v>
      </c>
    </row>
    <row r="11" s="53" customFormat="1" spans="1:30">
      <c r="A11" s="59">
        <v>68717</v>
      </c>
      <c r="B11" s="59" t="s">
        <v>162</v>
      </c>
      <c r="C11" s="60" t="s">
        <v>221</v>
      </c>
      <c r="D11" s="59" t="s">
        <v>36</v>
      </c>
      <c r="F11" s="57">
        <v>1</v>
      </c>
      <c r="G11" s="57">
        <v>2</v>
      </c>
      <c r="H11" s="57">
        <v>11</v>
      </c>
      <c r="I11" s="57">
        <v>11</v>
      </c>
      <c r="J11" s="71">
        <v>0</v>
      </c>
      <c r="K11" s="57">
        <v>127</v>
      </c>
      <c r="L11" s="57">
        <v>3</v>
      </c>
      <c r="O11" s="73"/>
      <c r="AC11" s="81"/>
      <c r="AD11" s="81"/>
    </row>
    <row r="12" s="53" customFormat="1" spans="1:30">
      <c r="A12" s="59">
        <v>33280</v>
      </c>
      <c r="B12" s="59" t="s">
        <v>162</v>
      </c>
      <c r="C12" s="60" t="s">
        <v>196</v>
      </c>
      <c r="D12" s="57" t="s">
        <v>36</v>
      </c>
      <c r="F12" s="57">
        <v>2</v>
      </c>
      <c r="G12" s="57">
        <v>2</v>
      </c>
      <c r="H12" s="57">
        <v>8</v>
      </c>
      <c r="I12" s="57">
        <v>25</v>
      </c>
      <c r="J12" s="71">
        <v>2.125</v>
      </c>
      <c r="K12" s="57">
        <v>208.8</v>
      </c>
      <c r="L12" s="57">
        <v>2</v>
      </c>
      <c r="O12" s="73"/>
      <c r="AC12" s="81"/>
      <c r="AD12" s="81"/>
    </row>
    <row r="13" s="53" customFormat="1" spans="1:30">
      <c r="A13" s="59">
        <v>68715</v>
      </c>
      <c r="B13" s="59" t="s">
        <v>162</v>
      </c>
      <c r="C13" s="60" t="s">
        <v>214</v>
      </c>
      <c r="D13" s="59" t="s">
        <v>36</v>
      </c>
      <c r="F13" s="57">
        <v>2</v>
      </c>
      <c r="G13" s="57">
        <v>2</v>
      </c>
      <c r="H13" s="57">
        <v>50</v>
      </c>
      <c r="I13" s="57">
        <v>54</v>
      </c>
      <c r="J13" s="71">
        <v>0.08</v>
      </c>
      <c r="K13" s="57">
        <v>613</v>
      </c>
      <c r="L13" s="57">
        <v>2</v>
      </c>
      <c r="O13" s="73"/>
      <c r="AC13" s="81"/>
      <c r="AD13" s="81"/>
    </row>
    <row r="14" s="53" customFormat="1" spans="1:30">
      <c r="A14" s="59">
        <v>53117</v>
      </c>
      <c r="B14" s="59" t="s">
        <v>209</v>
      </c>
      <c r="C14" s="65" t="s">
        <v>210</v>
      </c>
      <c r="D14" s="59" t="s">
        <v>36</v>
      </c>
      <c r="F14" s="57">
        <v>0</v>
      </c>
      <c r="G14" s="57">
        <v>2</v>
      </c>
      <c r="H14" s="57">
        <v>1</v>
      </c>
      <c r="I14" s="57">
        <v>4</v>
      </c>
      <c r="J14" s="71">
        <v>3</v>
      </c>
      <c r="K14" s="57">
        <v>26</v>
      </c>
      <c r="L14" s="57">
        <v>4</v>
      </c>
      <c r="M14" s="53"/>
      <c r="N14" s="53"/>
      <c r="O14" s="73"/>
      <c r="P14" s="53"/>
      <c r="Q14" s="53"/>
      <c r="R14" s="53"/>
      <c r="S14" s="53"/>
      <c r="T14" s="53"/>
      <c r="AC14" s="81"/>
      <c r="AD14" s="81"/>
    </row>
    <row r="15" s="53" customFormat="1" spans="1:30">
      <c r="A15" s="59">
        <v>67236</v>
      </c>
      <c r="B15" s="57" t="s">
        <v>140</v>
      </c>
      <c r="C15" s="65" t="s">
        <v>141</v>
      </c>
      <c r="D15" s="57" t="s">
        <v>36</v>
      </c>
      <c r="F15" s="57">
        <v>2</v>
      </c>
      <c r="G15" s="57">
        <v>2</v>
      </c>
      <c r="H15" s="57">
        <v>7</v>
      </c>
      <c r="I15" s="57">
        <v>14</v>
      </c>
      <c r="J15" s="71">
        <v>1</v>
      </c>
      <c r="K15" s="57">
        <v>190.5</v>
      </c>
      <c r="L15" s="57">
        <v>0</v>
      </c>
      <c r="O15" s="73"/>
      <c r="AC15" s="81">
        <v>27</v>
      </c>
      <c r="AD15" s="81">
        <v>-13</v>
      </c>
    </row>
    <row r="16" s="53" customFormat="1" spans="1:30">
      <c r="A16" s="59">
        <v>66333</v>
      </c>
      <c r="B16" s="57" t="s">
        <v>140</v>
      </c>
      <c r="C16" s="65" t="s">
        <v>142</v>
      </c>
      <c r="D16" s="57" t="s">
        <v>36</v>
      </c>
      <c r="F16" s="57">
        <v>1</v>
      </c>
      <c r="G16" s="57">
        <v>2</v>
      </c>
      <c r="H16" s="57">
        <v>37</v>
      </c>
      <c r="I16" s="57">
        <v>16</v>
      </c>
      <c r="J16" s="71">
        <v>-0.567567567567568</v>
      </c>
      <c r="K16" s="57">
        <v>227.1</v>
      </c>
      <c r="L16" s="57">
        <v>0</v>
      </c>
      <c r="O16" s="73"/>
      <c r="AC16" s="81">
        <v>57</v>
      </c>
      <c r="AD16" s="81">
        <v>17</v>
      </c>
    </row>
    <row r="17" s="53" customFormat="1" spans="1:30">
      <c r="A17" s="61">
        <v>26041</v>
      </c>
      <c r="B17" s="57" t="s">
        <v>105</v>
      </c>
      <c r="C17" s="62" t="s">
        <v>137</v>
      </c>
      <c r="D17" s="57" t="s">
        <v>36</v>
      </c>
      <c r="F17" s="57">
        <v>2</v>
      </c>
      <c r="G17" s="57">
        <v>0</v>
      </c>
      <c r="H17" s="57">
        <v>11</v>
      </c>
      <c r="I17" s="57">
        <v>16</v>
      </c>
      <c r="J17" s="71">
        <v>0.454545454545455</v>
      </c>
      <c r="K17" s="57">
        <v>160.8</v>
      </c>
      <c r="L17" s="57">
        <v>0</v>
      </c>
      <c r="O17" s="73"/>
      <c r="AC17" s="81">
        <v>31</v>
      </c>
      <c r="AD17" s="81">
        <v>-9</v>
      </c>
    </row>
    <row r="18" s="53" customFormat="1" spans="1:30">
      <c r="A18" s="61">
        <v>26042</v>
      </c>
      <c r="B18" s="57" t="s">
        <v>105</v>
      </c>
      <c r="C18" s="62" t="s">
        <v>138</v>
      </c>
      <c r="D18" s="57" t="s">
        <v>36</v>
      </c>
      <c r="F18" s="57">
        <v>2</v>
      </c>
      <c r="G18" s="57">
        <v>0</v>
      </c>
      <c r="H18" s="57">
        <v>19</v>
      </c>
      <c r="I18" s="57">
        <v>15</v>
      </c>
      <c r="J18" s="71">
        <v>-0.210526315789474</v>
      </c>
      <c r="K18" s="57">
        <v>152.6</v>
      </c>
      <c r="L18" s="57">
        <v>0</v>
      </c>
      <c r="O18" s="73"/>
      <c r="AC18" s="81">
        <v>39</v>
      </c>
      <c r="AD18" s="81">
        <v>-1</v>
      </c>
    </row>
    <row r="19" s="53" customFormat="1" spans="1:30">
      <c r="A19" s="61">
        <v>26040</v>
      </c>
      <c r="B19" s="57" t="s">
        <v>105</v>
      </c>
      <c r="C19" s="62" t="s">
        <v>139</v>
      </c>
      <c r="D19" s="57" t="s">
        <v>36</v>
      </c>
      <c r="F19" s="57">
        <v>2</v>
      </c>
      <c r="G19" s="57">
        <v>0</v>
      </c>
      <c r="H19" s="57">
        <v>19</v>
      </c>
      <c r="I19" s="57">
        <v>14</v>
      </c>
      <c r="J19" s="71">
        <v>-0.263157894736842</v>
      </c>
      <c r="K19" s="57">
        <v>127.8</v>
      </c>
      <c r="L19" s="57">
        <v>0</v>
      </c>
      <c r="O19" s="73"/>
      <c r="AC19" s="81">
        <v>39</v>
      </c>
      <c r="AD19" s="81">
        <v>-1</v>
      </c>
    </row>
    <row r="20" s="54" customFormat="1" spans="1:30">
      <c r="A20" s="59">
        <v>26699</v>
      </c>
      <c r="B20" s="59" t="s">
        <v>91</v>
      </c>
      <c r="C20" s="60" t="s">
        <v>207</v>
      </c>
      <c r="D20" s="59" t="s">
        <v>36</v>
      </c>
      <c r="E20" s="53"/>
      <c r="F20" s="57">
        <v>1</v>
      </c>
      <c r="G20" s="57">
        <v>1</v>
      </c>
      <c r="H20" s="57">
        <v>34</v>
      </c>
      <c r="I20" s="57">
        <v>51</v>
      </c>
      <c r="J20" s="71">
        <v>0.5</v>
      </c>
      <c r="K20" s="57">
        <v>802.2</v>
      </c>
      <c r="L20" s="57">
        <v>0</v>
      </c>
      <c r="M20" s="53"/>
      <c r="N20" s="53"/>
      <c r="O20" s="7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81"/>
      <c r="AD20" s="81"/>
    </row>
    <row r="21" s="54" customFormat="1" spans="1:30">
      <c r="A21" s="59">
        <v>26395</v>
      </c>
      <c r="B21" s="59" t="s">
        <v>91</v>
      </c>
      <c r="C21" s="65" t="s">
        <v>208</v>
      </c>
      <c r="D21" s="59" t="s">
        <v>36</v>
      </c>
      <c r="E21" s="53"/>
      <c r="F21" s="57">
        <v>1</v>
      </c>
      <c r="G21" s="57">
        <v>1</v>
      </c>
      <c r="H21" s="57">
        <v>49</v>
      </c>
      <c r="I21" s="57">
        <v>20</v>
      </c>
      <c r="J21" s="71">
        <v>-0.591836734693878</v>
      </c>
      <c r="K21" s="57">
        <v>292.4</v>
      </c>
      <c r="L21" s="57">
        <v>0</v>
      </c>
      <c r="M21" s="53"/>
      <c r="N21" s="53"/>
      <c r="O21" s="7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81"/>
      <c r="AD21" s="81"/>
    </row>
    <row r="22" s="53" customFormat="1" spans="1:30">
      <c r="A22" s="61">
        <v>33412</v>
      </c>
      <c r="B22" s="57" t="s">
        <v>153</v>
      </c>
      <c r="C22" s="62" t="s">
        <v>154</v>
      </c>
      <c r="D22" s="57" t="s">
        <v>36</v>
      </c>
      <c r="F22" s="57">
        <v>0</v>
      </c>
      <c r="G22" s="57">
        <v>0</v>
      </c>
      <c r="H22" s="57">
        <v>35</v>
      </c>
      <c r="I22" s="57">
        <v>32</v>
      </c>
      <c r="J22" s="71">
        <v>-0.0857142857142857</v>
      </c>
      <c r="K22" s="57">
        <v>330.8</v>
      </c>
      <c r="L22" s="57">
        <v>0</v>
      </c>
      <c r="O22" s="73"/>
      <c r="AC22" s="81">
        <v>55</v>
      </c>
      <c r="AD22" s="81">
        <v>15</v>
      </c>
    </row>
    <row r="23" s="53" customFormat="1" spans="1:30">
      <c r="A23" s="61">
        <v>33426</v>
      </c>
      <c r="B23" s="57" t="s">
        <v>153</v>
      </c>
      <c r="C23" s="62" t="s">
        <v>156</v>
      </c>
      <c r="D23" s="57" t="s">
        <v>36</v>
      </c>
      <c r="F23" s="57">
        <v>0</v>
      </c>
      <c r="G23" s="57">
        <v>0</v>
      </c>
      <c r="H23" s="57">
        <v>13</v>
      </c>
      <c r="I23" s="57">
        <v>30</v>
      </c>
      <c r="J23" s="71">
        <v>1.30769230769231</v>
      </c>
      <c r="K23" s="57">
        <v>290</v>
      </c>
      <c r="L23" s="57">
        <v>0</v>
      </c>
      <c r="O23" s="73"/>
      <c r="AC23" s="81">
        <v>33</v>
      </c>
      <c r="AD23" s="81">
        <v>-7</v>
      </c>
    </row>
    <row r="24" s="53" customFormat="1" spans="1:30">
      <c r="A24" s="61">
        <v>33414</v>
      </c>
      <c r="B24" s="57" t="s">
        <v>153</v>
      </c>
      <c r="C24" s="62" t="s">
        <v>155</v>
      </c>
      <c r="D24" s="57" t="s">
        <v>36</v>
      </c>
      <c r="F24" s="57">
        <v>1</v>
      </c>
      <c r="G24" s="57">
        <v>0</v>
      </c>
      <c r="H24" s="57">
        <v>32</v>
      </c>
      <c r="I24" s="57">
        <v>96</v>
      </c>
      <c r="J24" s="71">
        <v>2</v>
      </c>
      <c r="K24" s="57">
        <v>746.66</v>
      </c>
      <c r="L24" s="57">
        <v>0</v>
      </c>
      <c r="O24" s="73"/>
      <c r="AC24" s="81">
        <v>52</v>
      </c>
      <c r="AD24" s="81">
        <v>12</v>
      </c>
    </row>
    <row r="25" s="53" customFormat="1" spans="1:30">
      <c r="A25" s="59">
        <v>66129</v>
      </c>
      <c r="B25" s="59" t="s">
        <v>91</v>
      </c>
      <c r="C25" s="60" t="s">
        <v>206</v>
      </c>
      <c r="D25" s="59" t="s">
        <v>36</v>
      </c>
      <c r="F25" s="57">
        <v>2</v>
      </c>
      <c r="G25" s="57">
        <v>2</v>
      </c>
      <c r="H25" s="57">
        <v>156</v>
      </c>
      <c r="I25" s="57">
        <v>65</v>
      </c>
      <c r="J25" s="71">
        <v>-0.583333333333333</v>
      </c>
      <c r="K25" s="57">
        <v>966.4</v>
      </c>
      <c r="L25" s="57">
        <v>2</v>
      </c>
      <c r="O25" s="73"/>
      <c r="AC25" s="81"/>
      <c r="AD25" s="81"/>
    </row>
    <row r="26" s="53" customFormat="1" spans="1:30">
      <c r="A26" s="59">
        <v>62547</v>
      </c>
      <c r="B26" s="59" t="s">
        <v>91</v>
      </c>
      <c r="C26" s="60" t="s">
        <v>205</v>
      </c>
      <c r="D26" s="59" t="s">
        <v>36</v>
      </c>
      <c r="F26" s="57">
        <v>2</v>
      </c>
      <c r="G26" s="57">
        <v>2</v>
      </c>
      <c r="H26" s="57">
        <v>33</v>
      </c>
      <c r="I26" s="57">
        <v>37</v>
      </c>
      <c r="J26" s="71">
        <v>0.121212121212121</v>
      </c>
      <c r="K26" s="57">
        <v>588.9</v>
      </c>
      <c r="L26" s="57">
        <v>0</v>
      </c>
      <c r="O26" s="73"/>
      <c r="AC26" s="81"/>
      <c r="AD26" s="81"/>
    </row>
    <row r="27" s="53" customFormat="1" spans="1:30">
      <c r="A27" s="61">
        <v>66334</v>
      </c>
      <c r="B27" s="57" t="s">
        <v>143</v>
      </c>
      <c r="C27" s="62" t="s">
        <v>144</v>
      </c>
      <c r="D27" s="57" t="s">
        <v>36</v>
      </c>
      <c r="F27" s="57">
        <v>2</v>
      </c>
      <c r="G27" s="57">
        <v>1</v>
      </c>
      <c r="H27" s="57">
        <v>17</v>
      </c>
      <c r="I27" s="57">
        <v>14</v>
      </c>
      <c r="J27" s="71">
        <v>-0.176470588235294</v>
      </c>
      <c r="K27" s="57">
        <v>216.2</v>
      </c>
      <c r="L27" s="57">
        <v>0</v>
      </c>
      <c r="O27" s="73"/>
      <c r="AC27" s="81">
        <v>37</v>
      </c>
      <c r="AD27" s="81">
        <v>-3</v>
      </c>
    </row>
    <row r="28" s="53" customFormat="1" spans="1:30">
      <c r="A28" s="61">
        <v>66332</v>
      </c>
      <c r="B28" s="57" t="s">
        <v>143</v>
      </c>
      <c r="C28" s="62" t="s">
        <v>145</v>
      </c>
      <c r="D28" s="57" t="s">
        <v>36</v>
      </c>
      <c r="F28" s="57">
        <v>1</v>
      </c>
      <c r="G28" s="57">
        <v>2</v>
      </c>
      <c r="H28" s="57">
        <v>35</v>
      </c>
      <c r="I28" s="57">
        <v>5</v>
      </c>
      <c r="J28" s="71">
        <v>-0.857142857142857</v>
      </c>
      <c r="K28" s="57">
        <v>77</v>
      </c>
      <c r="L28" s="57">
        <v>0</v>
      </c>
      <c r="O28" s="73"/>
      <c r="AC28" s="81">
        <v>55</v>
      </c>
      <c r="AD28" s="81">
        <v>15</v>
      </c>
    </row>
    <row r="29" s="53" customFormat="1" spans="1:30">
      <c r="A29" s="61">
        <v>33524</v>
      </c>
      <c r="B29" s="59" t="s">
        <v>179</v>
      </c>
      <c r="C29" s="65" t="s">
        <v>180</v>
      </c>
      <c r="D29" s="57" t="s">
        <v>36</v>
      </c>
      <c r="F29" s="57">
        <v>2</v>
      </c>
      <c r="G29" s="57">
        <v>2</v>
      </c>
      <c r="H29" s="57">
        <v>32</v>
      </c>
      <c r="I29" s="57">
        <v>31</v>
      </c>
      <c r="J29" s="71">
        <v>-0.03125</v>
      </c>
      <c r="K29" s="57">
        <v>203.5</v>
      </c>
      <c r="L29" s="57">
        <v>3</v>
      </c>
      <c r="O29" s="73"/>
      <c r="AC29" s="81">
        <v>52</v>
      </c>
      <c r="AD29" s="81">
        <v>12</v>
      </c>
    </row>
    <row r="30" s="53" customFormat="1" hidden="1" spans="1:30">
      <c r="A30" s="66">
        <v>33425</v>
      </c>
      <c r="B30" s="67" t="s">
        <v>110</v>
      </c>
      <c r="C30" s="68" t="s">
        <v>112</v>
      </c>
      <c r="D30" s="67" t="s">
        <v>36</v>
      </c>
      <c r="E30" s="54"/>
      <c r="F30" s="67">
        <v>0</v>
      </c>
      <c r="G30" s="67">
        <v>0</v>
      </c>
      <c r="H30" s="67" t="e">
        <v>#N/A</v>
      </c>
      <c r="I30" s="67" t="e">
        <v>#N/A</v>
      </c>
      <c r="J30" s="77" t="e">
        <v>#N/A</v>
      </c>
      <c r="K30" s="67" t="e">
        <v>#N/A</v>
      </c>
      <c r="L30" s="67" t="e">
        <v>#N/A</v>
      </c>
      <c r="M30" s="54"/>
      <c r="N30" s="54"/>
      <c r="O30" s="86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82" t="e">
        <v>#N/A</v>
      </c>
      <c r="AD30" s="82" t="e">
        <v>#N/A</v>
      </c>
    </row>
    <row r="31" s="53" customFormat="1" hidden="1" spans="1:30">
      <c r="A31" s="66">
        <v>33419</v>
      </c>
      <c r="B31" s="67" t="s">
        <v>110</v>
      </c>
      <c r="C31" s="68" t="s">
        <v>111</v>
      </c>
      <c r="D31" s="67" t="s">
        <v>36</v>
      </c>
      <c r="E31" s="54"/>
      <c r="F31" s="67">
        <v>0</v>
      </c>
      <c r="G31" s="67">
        <v>0</v>
      </c>
      <c r="H31" s="67" t="e">
        <v>#N/A</v>
      </c>
      <c r="I31" s="67" t="e">
        <v>#N/A</v>
      </c>
      <c r="J31" s="77" t="e">
        <v>#N/A</v>
      </c>
      <c r="K31" s="67" t="e">
        <v>#N/A</v>
      </c>
      <c r="L31" s="67" t="e">
        <v>#N/A</v>
      </c>
      <c r="M31" s="54"/>
      <c r="N31" s="54"/>
      <c r="O31" s="86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82" t="e">
        <v>#N/A</v>
      </c>
      <c r="AD31" s="82" t="e">
        <v>#N/A</v>
      </c>
    </row>
    <row r="32" s="53" customFormat="1" spans="1:30">
      <c r="A32" s="61">
        <v>22340</v>
      </c>
      <c r="B32" s="57" t="s">
        <v>127</v>
      </c>
      <c r="C32" s="62" t="s">
        <v>128</v>
      </c>
      <c r="D32" s="57" t="s">
        <v>36</v>
      </c>
      <c r="F32" s="57">
        <v>1</v>
      </c>
      <c r="G32" s="57">
        <v>0</v>
      </c>
      <c r="H32" s="57">
        <v>47</v>
      </c>
      <c r="I32" s="57">
        <v>35</v>
      </c>
      <c r="J32" s="71">
        <v>-0.25531914893617</v>
      </c>
      <c r="K32" s="57">
        <v>502.4</v>
      </c>
      <c r="L32" s="57">
        <v>2</v>
      </c>
      <c r="O32" s="73"/>
      <c r="AC32" s="81">
        <v>67</v>
      </c>
      <c r="AD32" s="81">
        <v>27</v>
      </c>
    </row>
    <row r="33" s="53" customFormat="1" spans="1:30">
      <c r="A33" s="61">
        <v>22335</v>
      </c>
      <c r="B33" s="57" t="s">
        <v>127</v>
      </c>
      <c r="C33" s="62" t="s">
        <v>129</v>
      </c>
      <c r="D33" s="57" t="s">
        <v>36</v>
      </c>
      <c r="F33" s="57">
        <v>2</v>
      </c>
      <c r="G33" s="57">
        <v>2</v>
      </c>
      <c r="H33" s="57">
        <v>48</v>
      </c>
      <c r="I33" s="57">
        <v>9</v>
      </c>
      <c r="J33" s="71">
        <v>-0.8125</v>
      </c>
      <c r="K33" s="57">
        <v>124.9</v>
      </c>
      <c r="L33" s="57">
        <v>1</v>
      </c>
      <c r="O33" s="73"/>
      <c r="AC33" s="81">
        <v>68</v>
      </c>
      <c r="AD33" s="81">
        <v>28</v>
      </c>
    </row>
    <row r="34" s="53" customFormat="1" spans="1:30">
      <c r="A34" s="61">
        <v>33511</v>
      </c>
      <c r="B34" s="57" t="s">
        <v>105</v>
      </c>
      <c r="C34" s="62" t="s">
        <v>115</v>
      </c>
      <c r="D34" s="57" t="s">
        <v>36</v>
      </c>
      <c r="F34" s="57">
        <v>1</v>
      </c>
      <c r="G34" s="57">
        <v>2</v>
      </c>
      <c r="H34" s="57">
        <v>2</v>
      </c>
      <c r="I34" s="57">
        <v>20</v>
      </c>
      <c r="J34" s="71">
        <v>9</v>
      </c>
      <c r="K34" s="57">
        <v>285.8</v>
      </c>
      <c r="L34" s="57">
        <v>1</v>
      </c>
      <c r="O34" s="73"/>
      <c r="AC34" s="81">
        <v>22</v>
      </c>
      <c r="AD34" s="81">
        <v>-18</v>
      </c>
    </row>
    <row r="35" s="53" customFormat="1" spans="1:30">
      <c r="A35" s="61">
        <v>18857</v>
      </c>
      <c r="B35" s="57" t="s">
        <v>105</v>
      </c>
      <c r="C35" s="62" t="s">
        <v>107</v>
      </c>
      <c r="D35" s="57" t="s">
        <v>36</v>
      </c>
      <c r="F35" s="57">
        <v>2</v>
      </c>
      <c r="G35" s="57">
        <v>2</v>
      </c>
      <c r="H35" s="57">
        <v>6</v>
      </c>
      <c r="I35" s="57">
        <v>1</v>
      </c>
      <c r="J35" s="71">
        <v>-0.833333333333333</v>
      </c>
      <c r="K35" s="57">
        <v>16.8</v>
      </c>
      <c r="L35" s="57">
        <v>0</v>
      </c>
      <c r="O35" s="73"/>
      <c r="AC35" s="81">
        <v>26</v>
      </c>
      <c r="AD35" s="81">
        <v>-14</v>
      </c>
    </row>
    <row r="36" s="53" customFormat="1" spans="1:30">
      <c r="A36" s="61">
        <v>33413</v>
      </c>
      <c r="B36" s="57" t="s">
        <v>105</v>
      </c>
      <c r="C36" s="85" t="s">
        <v>106</v>
      </c>
      <c r="D36" s="57" t="s">
        <v>36</v>
      </c>
      <c r="F36" s="57">
        <v>2</v>
      </c>
      <c r="G36" s="57">
        <v>2</v>
      </c>
      <c r="H36" s="57">
        <v>87</v>
      </c>
      <c r="I36" s="57">
        <v>19</v>
      </c>
      <c r="J36" s="71">
        <v>-0.781609195402299</v>
      </c>
      <c r="K36" s="57">
        <v>286.4</v>
      </c>
      <c r="L36" s="57">
        <v>0</v>
      </c>
      <c r="O36" s="73"/>
      <c r="AC36" s="81">
        <v>107</v>
      </c>
      <c r="AD36" s="81">
        <v>67</v>
      </c>
    </row>
    <row r="37" s="53" customFormat="1" spans="1:30">
      <c r="A37" s="61">
        <v>33416</v>
      </c>
      <c r="B37" s="57" t="s">
        <v>105</v>
      </c>
      <c r="C37" s="62" t="s">
        <v>109</v>
      </c>
      <c r="D37" s="57" t="s">
        <v>36</v>
      </c>
      <c r="F37" s="57">
        <v>2</v>
      </c>
      <c r="G37" s="57">
        <v>3</v>
      </c>
      <c r="H37" s="57">
        <v>9</v>
      </c>
      <c r="I37" s="57">
        <v>4</v>
      </c>
      <c r="J37" s="71">
        <v>-0.555555555555556</v>
      </c>
      <c r="K37" s="57">
        <v>60.2</v>
      </c>
      <c r="L37" s="57">
        <v>1</v>
      </c>
      <c r="O37" s="73"/>
      <c r="AC37" s="81">
        <v>29</v>
      </c>
      <c r="AD37" s="81">
        <v>-11</v>
      </c>
    </row>
    <row r="38" s="53" customFormat="1" spans="1:30">
      <c r="A38" s="61">
        <v>33418</v>
      </c>
      <c r="B38" s="57" t="s">
        <v>105</v>
      </c>
      <c r="C38" s="62" t="s">
        <v>108</v>
      </c>
      <c r="D38" s="57" t="s">
        <v>36</v>
      </c>
      <c r="F38" s="57">
        <v>2</v>
      </c>
      <c r="G38" s="57">
        <v>2</v>
      </c>
      <c r="H38" s="57">
        <v>29</v>
      </c>
      <c r="I38" s="57">
        <v>14</v>
      </c>
      <c r="J38" s="71">
        <v>-0.517241379310345</v>
      </c>
      <c r="K38" s="57">
        <v>201.3</v>
      </c>
      <c r="L38" s="57">
        <v>1</v>
      </c>
      <c r="O38" s="73"/>
      <c r="AC38" s="81">
        <v>49</v>
      </c>
      <c r="AD38" s="81">
        <v>9</v>
      </c>
    </row>
    <row r="39" s="53" customFormat="1" spans="1:30">
      <c r="A39" s="61">
        <v>33512</v>
      </c>
      <c r="B39" s="57" t="s">
        <v>105</v>
      </c>
      <c r="C39" s="62" t="s">
        <v>114</v>
      </c>
      <c r="D39" s="57" t="s">
        <v>36</v>
      </c>
      <c r="F39" s="57">
        <v>2</v>
      </c>
      <c r="G39" s="57">
        <v>2</v>
      </c>
      <c r="H39" s="57">
        <v>17</v>
      </c>
      <c r="I39" s="57">
        <v>15</v>
      </c>
      <c r="J39" s="71">
        <v>-0.117647058823529</v>
      </c>
      <c r="K39" s="57">
        <v>219.1</v>
      </c>
      <c r="L39" s="57">
        <v>0</v>
      </c>
      <c r="O39" s="73"/>
      <c r="AC39" s="81">
        <v>37</v>
      </c>
      <c r="AD39" s="81">
        <v>-3</v>
      </c>
    </row>
    <row r="40" s="53" customFormat="1" spans="1:30">
      <c r="A40" s="61">
        <v>33430</v>
      </c>
      <c r="B40" s="57" t="s">
        <v>105</v>
      </c>
      <c r="C40" s="62" t="s">
        <v>113</v>
      </c>
      <c r="D40" s="57" t="s">
        <v>36</v>
      </c>
      <c r="F40" s="57">
        <v>2</v>
      </c>
      <c r="G40" s="57">
        <v>2</v>
      </c>
      <c r="H40" s="57">
        <v>40</v>
      </c>
      <c r="I40" s="57">
        <v>16</v>
      </c>
      <c r="J40" s="71">
        <v>-0.6</v>
      </c>
      <c r="K40" s="57">
        <v>223.1</v>
      </c>
      <c r="L40" s="57">
        <v>1</v>
      </c>
      <c r="O40" s="73"/>
      <c r="AC40" s="81">
        <v>60</v>
      </c>
      <c r="AD40" s="81">
        <v>20</v>
      </c>
    </row>
    <row r="41" s="53" customFormat="1" spans="1:30">
      <c r="A41" s="61">
        <v>33514</v>
      </c>
      <c r="B41" s="57" t="s">
        <v>105</v>
      </c>
      <c r="C41" s="62" t="s">
        <v>116</v>
      </c>
      <c r="D41" s="57" t="s">
        <v>36</v>
      </c>
      <c r="F41" s="57">
        <v>1</v>
      </c>
      <c r="G41" s="57">
        <v>0</v>
      </c>
      <c r="H41" s="57">
        <v>27</v>
      </c>
      <c r="I41" s="57">
        <v>16</v>
      </c>
      <c r="J41" s="71">
        <v>-0.407407407407407</v>
      </c>
      <c r="K41" s="57">
        <v>233.9</v>
      </c>
      <c r="L41" s="57">
        <v>4</v>
      </c>
      <c r="O41" s="73"/>
      <c r="AC41" s="81">
        <v>47</v>
      </c>
      <c r="AD41" s="81">
        <v>7</v>
      </c>
    </row>
    <row r="42" s="53" customFormat="1" spans="1:30">
      <c r="A42" s="59">
        <v>33691</v>
      </c>
      <c r="B42" s="59" t="s">
        <v>91</v>
      </c>
      <c r="C42" s="65" t="s">
        <v>198</v>
      </c>
      <c r="D42" s="59" t="s">
        <v>36</v>
      </c>
      <c r="F42" s="57">
        <v>2</v>
      </c>
      <c r="G42" s="57">
        <v>2</v>
      </c>
      <c r="H42" s="57">
        <v>23</v>
      </c>
      <c r="I42" s="57">
        <v>41</v>
      </c>
      <c r="J42" s="71">
        <v>0.782608695652174</v>
      </c>
      <c r="K42" s="57">
        <v>573.7</v>
      </c>
      <c r="L42" s="57">
        <v>0</v>
      </c>
      <c r="O42" s="73"/>
      <c r="AC42" s="81"/>
      <c r="AD42" s="81"/>
    </row>
    <row r="43" s="53" customFormat="1" spans="1:30">
      <c r="A43" s="59">
        <v>33689</v>
      </c>
      <c r="B43" s="59" t="s">
        <v>91</v>
      </c>
      <c r="C43" s="65" t="s">
        <v>197</v>
      </c>
      <c r="D43" s="59" t="s">
        <v>36</v>
      </c>
      <c r="F43" s="57">
        <v>2</v>
      </c>
      <c r="G43" s="57">
        <v>2</v>
      </c>
      <c r="H43" s="57">
        <v>37</v>
      </c>
      <c r="I43" s="57">
        <v>24</v>
      </c>
      <c r="J43" s="71">
        <v>-0.351351351351351</v>
      </c>
      <c r="K43" s="57">
        <v>331.7</v>
      </c>
      <c r="L43" s="57">
        <v>5</v>
      </c>
      <c r="O43" s="73"/>
      <c r="AC43" s="81"/>
      <c r="AD43" s="81"/>
    </row>
    <row r="44" s="53" customFormat="1" spans="1:30">
      <c r="A44" s="59">
        <v>20915</v>
      </c>
      <c r="B44" s="64" t="s">
        <v>91</v>
      </c>
      <c r="C44" s="83" t="s">
        <v>93</v>
      </c>
      <c r="D44" s="57" t="s">
        <v>36</v>
      </c>
      <c r="F44" s="57">
        <v>1</v>
      </c>
      <c r="G44" s="57">
        <v>1</v>
      </c>
      <c r="H44" s="57">
        <v>12</v>
      </c>
      <c r="I44" s="57">
        <v>13</v>
      </c>
      <c r="J44" s="71">
        <v>0.0833333333333333</v>
      </c>
      <c r="K44" s="57">
        <v>204.4</v>
      </c>
      <c r="L44" s="57">
        <v>1</v>
      </c>
      <c r="O44" s="73"/>
      <c r="AC44" s="81">
        <v>32</v>
      </c>
      <c r="AD44" s="81">
        <v>-8</v>
      </c>
    </row>
    <row r="45" s="53" customFormat="1" hidden="1" spans="1:30">
      <c r="A45" s="66">
        <v>18856</v>
      </c>
      <c r="B45" s="67" t="s">
        <v>91</v>
      </c>
      <c r="C45" s="68" t="s">
        <v>92</v>
      </c>
      <c r="D45" s="67" t="s">
        <v>36</v>
      </c>
      <c r="E45" s="54"/>
      <c r="F45" s="67">
        <v>0</v>
      </c>
      <c r="G45" s="67">
        <v>0</v>
      </c>
      <c r="H45" s="67" t="e">
        <v>#N/A</v>
      </c>
      <c r="I45" s="67" t="e">
        <v>#N/A</v>
      </c>
      <c r="J45" s="77" t="e">
        <v>#N/A</v>
      </c>
      <c r="K45" s="67" t="e">
        <v>#N/A</v>
      </c>
      <c r="L45" s="67" t="e">
        <v>#N/A</v>
      </c>
      <c r="M45" s="54"/>
      <c r="N45" s="54"/>
      <c r="O45" s="86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82" t="e">
        <v>#N/A</v>
      </c>
      <c r="AD45" s="82" t="e">
        <v>#N/A</v>
      </c>
    </row>
    <row r="46" s="53" customFormat="1" spans="1:30">
      <c r="A46" s="61">
        <v>33682</v>
      </c>
      <c r="B46" s="57" t="s">
        <v>91</v>
      </c>
      <c r="C46" s="62" t="s">
        <v>100</v>
      </c>
      <c r="D46" s="57" t="s">
        <v>36</v>
      </c>
      <c r="F46" s="57">
        <v>3</v>
      </c>
      <c r="G46" s="57">
        <v>2</v>
      </c>
      <c r="H46" s="57">
        <v>15</v>
      </c>
      <c r="I46" s="57">
        <v>19</v>
      </c>
      <c r="J46" s="71">
        <v>0.266666666666667</v>
      </c>
      <c r="K46" s="57">
        <v>284.8</v>
      </c>
      <c r="L46" s="57">
        <v>0</v>
      </c>
      <c r="O46" s="73"/>
      <c r="AC46" s="81">
        <v>35</v>
      </c>
      <c r="AD46" s="81">
        <v>-5</v>
      </c>
    </row>
    <row r="47" s="53" customFormat="1" spans="1:30">
      <c r="A47" s="59">
        <v>54632</v>
      </c>
      <c r="B47" s="57" t="s">
        <v>91</v>
      </c>
      <c r="C47" s="62" t="s">
        <v>185</v>
      </c>
      <c r="D47" s="59" t="s">
        <v>36</v>
      </c>
      <c r="F47" s="57">
        <v>3</v>
      </c>
      <c r="G47" s="57">
        <v>2</v>
      </c>
      <c r="H47" s="57">
        <v>63</v>
      </c>
      <c r="I47" s="57">
        <v>5</v>
      </c>
      <c r="J47" s="71">
        <v>-0.920634920634921</v>
      </c>
      <c r="K47" s="57">
        <v>69</v>
      </c>
      <c r="L47" s="57">
        <v>0</v>
      </c>
      <c r="O47" s="73"/>
      <c r="AC47" s="81">
        <v>83</v>
      </c>
      <c r="AD47" s="81">
        <v>43</v>
      </c>
    </row>
    <row r="48" s="53" customFormat="1" spans="1:30">
      <c r="A48" s="59">
        <v>68714</v>
      </c>
      <c r="B48" s="59" t="s">
        <v>91</v>
      </c>
      <c r="C48" s="65" t="s">
        <v>190</v>
      </c>
      <c r="D48" s="59" t="s">
        <v>36</v>
      </c>
      <c r="F48" s="57">
        <v>2</v>
      </c>
      <c r="G48" s="57">
        <v>2</v>
      </c>
      <c r="H48" s="57">
        <v>101</v>
      </c>
      <c r="I48" s="57">
        <v>40</v>
      </c>
      <c r="J48" s="71">
        <v>-0.603960396039604</v>
      </c>
      <c r="K48" s="57">
        <v>602.7</v>
      </c>
      <c r="L48" s="57">
        <v>1</v>
      </c>
      <c r="O48" s="73"/>
      <c r="AC48" s="81"/>
      <c r="AD48" s="81"/>
    </row>
    <row r="49" s="53" customFormat="1" spans="1:30">
      <c r="A49" s="59">
        <v>68716</v>
      </c>
      <c r="B49" s="59" t="s">
        <v>91</v>
      </c>
      <c r="C49" s="65" t="s">
        <v>191</v>
      </c>
      <c r="D49" s="59" t="s">
        <v>36</v>
      </c>
      <c r="F49" s="57">
        <v>2</v>
      </c>
      <c r="G49" s="57">
        <v>2</v>
      </c>
      <c r="H49" s="57">
        <v>50</v>
      </c>
      <c r="I49" s="57">
        <v>31</v>
      </c>
      <c r="J49" s="71">
        <v>-0.38</v>
      </c>
      <c r="K49" s="57">
        <v>457.7</v>
      </c>
      <c r="L49" s="57">
        <v>1</v>
      </c>
      <c r="O49" s="73"/>
      <c r="AC49" s="81"/>
      <c r="AD49" s="81"/>
    </row>
    <row r="50" s="53" customFormat="1" spans="1:30">
      <c r="A50" s="59">
        <v>33527</v>
      </c>
      <c r="B50" s="64" t="s">
        <v>91</v>
      </c>
      <c r="C50" s="83" t="s">
        <v>95</v>
      </c>
      <c r="D50" s="57" t="s">
        <v>36</v>
      </c>
      <c r="F50" s="57">
        <v>0</v>
      </c>
      <c r="G50" s="57">
        <v>0</v>
      </c>
      <c r="H50" s="57">
        <v>28</v>
      </c>
      <c r="I50" s="57">
        <v>12</v>
      </c>
      <c r="J50" s="71">
        <v>-0.571428571428571</v>
      </c>
      <c r="K50" s="57">
        <v>185.6</v>
      </c>
      <c r="L50" s="57">
        <v>0</v>
      </c>
      <c r="O50" s="73"/>
      <c r="AC50" s="81">
        <v>48</v>
      </c>
      <c r="AD50" s="81">
        <v>8</v>
      </c>
    </row>
    <row r="51" s="53" customFormat="1" spans="1:30">
      <c r="A51" s="59">
        <v>33690</v>
      </c>
      <c r="B51" s="64" t="s">
        <v>91</v>
      </c>
      <c r="C51" s="83" t="s">
        <v>94</v>
      </c>
      <c r="D51" s="57" t="s">
        <v>36</v>
      </c>
      <c r="F51" s="57">
        <v>0</v>
      </c>
      <c r="G51" s="57">
        <v>0</v>
      </c>
      <c r="H51" s="57">
        <v>14</v>
      </c>
      <c r="I51" s="57">
        <v>19</v>
      </c>
      <c r="J51" s="71">
        <v>0.357142857142857</v>
      </c>
      <c r="K51" s="57">
        <v>295.8</v>
      </c>
      <c r="L51" s="57">
        <v>0</v>
      </c>
      <c r="O51" s="73"/>
      <c r="AC51" s="81">
        <v>34</v>
      </c>
      <c r="AD51" s="81">
        <v>-6</v>
      </c>
    </row>
    <row r="52" s="53" customFormat="1" spans="1:30">
      <c r="A52" s="59">
        <v>33529</v>
      </c>
      <c r="B52" s="64" t="s">
        <v>91</v>
      </c>
      <c r="C52" s="83" t="s">
        <v>97</v>
      </c>
      <c r="D52" s="57" t="s">
        <v>36</v>
      </c>
      <c r="F52" s="57">
        <v>0</v>
      </c>
      <c r="G52" s="57">
        <v>0</v>
      </c>
      <c r="H52" s="57">
        <v>82</v>
      </c>
      <c r="I52" s="57">
        <v>24</v>
      </c>
      <c r="J52" s="71">
        <v>-0.707317073170732</v>
      </c>
      <c r="K52" s="57">
        <v>360.3</v>
      </c>
      <c r="L52" s="57">
        <v>0</v>
      </c>
      <c r="O52" s="73"/>
      <c r="AC52" s="81">
        <v>102</v>
      </c>
      <c r="AD52" s="81">
        <v>62</v>
      </c>
    </row>
    <row r="53" s="53" customFormat="1" hidden="1" spans="1:30">
      <c r="A53" s="59">
        <v>33686</v>
      </c>
      <c r="B53" s="64" t="s">
        <v>91</v>
      </c>
      <c r="C53" s="83" t="s">
        <v>96</v>
      </c>
      <c r="D53" s="57" t="s">
        <v>36</v>
      </c>
      <c r="F53" s="57">
        <v>0</v>
      </c>
      <c r="G53" s="57">
        <v>0</v>
      </c>
      <c r="H53" s="57">
        <v>33</v>
      </c>
      <c r="I53" s="57" t="e">
        <v>#N/A</v>
      </c>
      <c r="J53" s="71" t="e">
        <v>#N/A</v>
      </c>
      <c r="K53" s="57" t="e">
        <v>#N/A</v>
      </c>
      <c r="L53" s="57" t="e">
        <v>#N/A</v>
      </c>
      <c r="O53" s="73"/>
      <c r="AC53" s="81">
        <v>53</v>
      </c>
      <c r="AD53" s="81">
        <v>13</v>
      </c>
    </row>
    <row r="54" s="53" customFormat="1" spans="1:30">
      <c r="A54" s="59">
        <v>33687</v>
      </c>
      <c r="B54" s="59" t="s">
        <v>91</v>
      </c>
      <c r="C54" s="60" t="s">
        <v>213</v>
      </c>
      <c r="D54" s="59" t="s">
        <v>36</v>
      </c>
      <c r="F54" s="57">
        <v>2</v>
      </c>
      <c r="G54" s="57">
        <v>2</v>
      </c>
      <c r="H54" s="57">
        <v>60</v>
      </c>
      <c r="I54" s="57">
        <v>27</v>
      </c>
      <c r="J54" s="71">
        <v>-0.55</v>
      </c>
      <c r="K54" s="57">
        <v>414.2</v>
      </c>
      <c r="L54" s="57">
        <v>1</v>
      </c>
      <c r="O54" s="73"/>
      <c r="AC54" s="81"/>
      <c r="AD54" s="81"/>
    </row>
    <row r="55" s="53" customFormat="1" spans="1:30">
      <c r="A55" s="59">
        <v>33679</v>
      </c>
      <c r="B55" s="59" t="s">
        <v>91</v>
      </c>
      <c r="C55" s="60" t="s">
        <v>212</v>
      </c>
      <c r="D55" s="59" t="s">
        <v>36</v>
      </c>
      <c r="F55" s="57">
        <v>2</v>
      </c>
      <c r="G55" s="57">
        <v>2</v>
      </c>
      <c r="H55" s="57">
        <v>17</v>
      </c>
      <c r="I55" s="57">
        <v>26</v>
      </c>
      <c r="J55" s="71">
        <v>0.529411764705882</v>
      </c>
      <c r="K55" s="57">
        <v>389.9</v>
      </c>
      <c r="L55" s="57">
        <v>0</v>
      </c>
      <c r="O55" s="73"/>
      <c r="AC55" s="81"/>
      <c r="AD55" s="81"/>
    </row>
    <row r="56" s="53" customFormat="1" spans="1:30">
      <c r="A56" s="61">
        <v>52942</v>
      </c>
      <c r="B56" s="57" t="s">
        <v>91</v>
      </c>
      <c r="C56" s="62" t="s">
        <v>101</v>
      </c>
      <c r="D56" s="57" t="s">
        <v>36</v>
      </c>
      <c r="F56" s="57">
        <v>2</v>
      </c>
      <c r="G56" s="57">
        <v>2</v>
      </c>
      <c r="H56" s="57">
        <v>10</v>
      </c>
      <c r="I56" s="57">
        <v>8</v>
      </c>
      <c r="J56" s="71">
        <v>-0.2</v>
      </c>
      <c r="K56" s="57">
        <v>131.5</v>
      </c>
      <c r="L56" s="57">
        <v>0</v>
      </c>
      <c r="O56" s="73"/>
      <c r="AC56" s="81">
        <v>30</v>
      </c>
      <c r="AD56" s="81">
        <v>-10</v>
      </c>
    </row>
    <row r="57" s="53" customFormat="1" spans="1:30">
      <c r="A57" s="61">
        <v>52941</v>
      </c>
      <c r="B57" s="57" t="s">
        <v>91</v>
      </c>
      <c r="C57" s="85" t="s">
        <v>102</v>
      </c>
      <c r="D57" s="57" t="s">
        <v>36</v>
      </c>
      <c r="F57" s="57">
        <v>2</v>
      </c>
      <c r="G57" s="57">
        <v>2</v>
      </c>
      <c r="H57" s="57">
        <v>35</v>
      </c>
      <c r="I57" s="57">
        <v>9</v>
      </c>
      <c r="J57" s="71">
        <v>-0.742857142857143</v>
      </c>
      <c r="K57" s="57">
        <v>146.2</v>
      </c>
      <c r="L57" s="57">
        <v>0</v>
      </c>
      <c r="O57" s="73"/>
      <c r="AC57" s="81">
        <v>55</v>
      </c>
      <c r="AD57" s="81">
        <v>15</v>
      </c>
    </row>
    <row r="58" s="53" customFormat="1" spans="1:30">
      <c r="A58" s="61">
        <v>52943</v>
      </c>
      <c r="B58" s="57" t="s">
        <v>91</v>
      </c>
      <c r="C58" s="85" t="s">
        <v>103</v>
      </c>
      <c r="D58" s="57" t="s">
        <v>36</v>
      </c>
      <c r="F58" s="57">
        <v>2</v>
      </c>
      <c r="G58" s="57">
        <v>2</v>
      </c>
      <c r="H58" s="57">
        <v>23</v>
      </c>
      <c r="I58" s="57">
        <v>9</v>
      </c>
      <c r="J58" s="71">
        <v>-0.608695652173913</v>
      </c>
      <c r="K58" s="57">
        <v>144.3</v>
      </c>
      <c r="L58" s="57">
        <v>1</v>
      </c>
      <c r="O58" s="73"/>
      <c r="AC58" s="81">
        <v>43</v>
      </c>
      <c r="AD58" s="81">
        <v>3</v>
      </c>
    </row>
    <row r="59" s="53" customFormat="1" spans="1:30">
      <c r="A59" s="61">
        <v>52944</v>
      </c>
      <c r="B59" s="57" t="s">
        <v>91</v>
      </c>
      <c r="C59" s="85" t="s">
        <v>104</v>
      </c>
      <c r="D59" s="57" t="s">
        <v>36</v>
      </c>
      <c r="F59" s="57">
        <v>2</v>
      </c>
      <c r="G59" s="57">
        <v>2</v>
      </c>
      <c r="H59" s="57">
        <v>80</v>
      </c>
      <c r="I59" s="57">
        <v>37</v>
      </c>
      <c r="J59" s="71">
        <v>-0.5375</v>
      </c>
      <c r="K59" s="57">
        <v>529</v>
      </c>
      <c r="L59" s="57">
        <v>1</v>
      </c>
      <c r="O59" s="73"/>
      <c r="AC59" s="81">
        <v>100</v>
      </c>
      <c r="AD59" s="81">
        <v>60</v>
      </c>
    </row>
    <row r="60" s="54" customFormat="1" spans="1:30">
      <c r="A60" s="61">
        <v>33680</v>
      </c>
      <c r="B60" s="57" t="s">
        <v>91</v>
      </c>
      <c r="C60" s="62" t="s">
        <v>99</v>
      </c>
      <c r="D60" s="57" t="s">
        <v>36</v>
      </c>
      <c r="E60" s="53"/>
      <c r="F60" s="57">
        <v>1</v>
      </c>
      <c r="G60" s="57">
        <v>2</v>
      </c>
      <c r="H60" s="57">
        <v>20</v>
      </c>
      <c r="I60" s="57">
        <v>26</v>
      </c>
      <c r="J60" s="71">
        <v>0.3</v>
      </c>
      <c r="K60" s="57">
        <v>409.4</v>
      </c>
      <c r="L60" s="57">
        <v>0</v>
      </c>
      <c r="M60" s="53"/>
      <c r="N60" s="53"/>
      <c r="O60" s="7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81">
        <v>40</v>
      </c>
      <c r="AD60" s="81">
        <v>0</v>
      </c>
    </row>
    <row r="61" s="53" customFormat="1" spans="1:30">
      <c r="A61" s="61">
        <v>33674</v>
      </c>
      <c r="B61" s="57" t="s">
        <v>91</v>
      </c>
      <c r="C61" s="62" t="s">
        <v>98</v>
      </c>
      <c r="D61" s="57" t="s">
        <v>36</v>
      </c>
      <c r="F61" s="57">
        <v>1</v>
      </c>
      <c r="G61" s="57">
        <v>2</v>
      </c>
      <c r="H61" s="57">
        <v>35</v>
      </c>
      <c r="I61" s="57">
        <v>20</v>
      </c>
      <c r="J61" s="71">
        <v>-0.428571428571429</v>
      </c>
      <c r="K61" s="57">
        <v>310</v>
      </c>
      <c r="L61" s="57">
        <v>0</v>
      </c>
      <c r="O61" s="73"/>
      <c r="AC61" s="81">
        <v>55</v>
      </c>
      <c r="AD61" s="81">
        <v>15</v>
      </c>
    </row>
    <row r="62" s="53" customFormat="1" spans="1:30">
      <c r="A62" s="59">
        <v>53058</v>
      </c>
      <c r="B62" s="59" t="s">
        <v>91</v>
      </c>
      <c r="C62" s="65" t="s">
        <v>187</v>
      </c>
      <c r="D62" s="59" t="s">
        <v>36</v>
      </c>
      <c r="F62" s="57">
        <v>2</v>
      </c>
      <c r="G62" s="57">
        <v>2</v>
      </c>
      <c r="H62" s="57">
        <v>105</v>
      </c>
      <c r="I62" s="57">
        <v>63</v>
      </c>
      <c r="J62" s="71">
        <v>-0.4</v>
      </c>
      <c r="K62" s="57">
        <v>999.1</v>
      </c>
      <c r="L62" s="57">
        <v>2</v>
      </c>
      <c r="O62" s="73"/>
      <c r="AC62" s="81">
        <v>125</v>
      </c>
      <c r="AD62" s="81">
        <v>85</v>
      </c>
    </row>
    <row r="63" s="53" customFormat="1" spans="1:30">
      <c r="A63" s="59">
        <v>53254</v>
      </c>
      <c r="B63" s="59" t="s">
        <v>91</v>
      </c>
      <c r="C63" s="65" t="s">
        <v>188</v>
      </c>
      <c r="D63" s="59" t="s">
        <v>36</v>
      </c>
      <c r="F63" s="57">
        <v>1</v>
      </c>
      <c r="G63" s="57">
        <v>2</v>
      </c>
      <c r="H63" s="57">
        <v>88</v>
      </c>
      <c r="I63" s="57">
        <v>121</v>
      </c>
      <c r="J63" s="71">
        <v>0.375</v>
      </c>
      <c r="K63" s="57">
        <v>1872.5</v>
      </c>
      <c r="L63" s="57">
        <v>3</v>
      </c>
      <c r="O63" s="73"/>
      <c r="AC63" s="81"/>
      <c r="AD63" s="81"/>
    </row>
    <row r="64" s="53" customFormat="1" spans="1:30">
      <c r="A64" s="59">
        <v>33685</v>
      </c>
      <c r="B64" s="59" t="s">
        <v>91</v>
      </c>
      <c r="C64" s="60" t="s">
        <v>215</v>
      </c>
      <c r="D64" s="59" t="s">
        <v>36</v>
      </c>
      <c r="F64" s="57">
        <v>0</v>
      </c>
      <c r="G64" s="57">
        <v>0</v>
      </c>
      <c r="H64" s="57">
        <v>6</v>
      </c>
      <c r="I64" s="57">
        <v>11</v>
      </c>
      <c r="J64" s="71">
        <v>0.833333333333333</v>
      </c>
      <c r="K64" s="57">
        <v>164.4</v>
      </c>
      <c r="L64" s="57">
        <v>0</v>
      </c>
      <c r="O64" s="73"/>
      <c r="AC64" s="81"/>
      <c r="AD64" s="81"/>
    </row>
    <row r="65" s="53" customFormat="1" spans="1:30">
      <c r="A65" s="59">
        <v>33675</v>
      </c>
      <c r="B65" s="59" t="s">
        <v>91</v>
      </c>
      <c r="C65" s="59" t="s">
        <v>219</v>
      </c>
      <c r="D65" s="59" t="s">
        <v>36</v>
      </c>
      <c r="F65" s="57">
        <v>0</v>
      </c>
      <c r="G65" s="57">
        <v>0</v>
      </c>
      <c r="H65" s="57">
        <v>18</v>
      </c>
      <c r="I65" s="57">
        <v>18</v>
      </c>
      <c r="J65" s="71">
        <v>0</v>
      </c>
      <c r="K65" s="57">
        <v>257.2</v>
      </c>
      <c r="L65" s="57">
        <v>0</v>
      </c>
      <c r="O65" s="73"/>
      <c r="AC65" s="81"/>
      <c r="AD65" s="81"/>
    </row>
    <row r="66" s="53" customFormat="1" spans="1:30">
      <c r="A66" s="61">
        <v>68723</v>
      </c>
      <c r="B66" s="57" t="s">
        <v>91</v>
      </c>
      <c r="C66" s="87" t="s">
        <v>165</v>
      </c>
      <c r="D66" s="57" t="s">
        <v>36</v>
      </c>
      <c r="F66" s="57">
        <v>2</v>
      </c>
      <c r="G66" s="57">
        <v>2</v>
      </c>
      <c r="H66" s="57">
        <v>117</v>
      </c>
      <c r="I66" s="57">
        <v>45</v>
      </c>
      <c r="J66" s="71">
        <v>-0.615384615384615</v>
      </c>
      <c r="K66" s="57">
        <v>675.8</v>
      </c>
      <c r="L66" s="57">
        <v>0</v>
      </c>
      <c r="O66" s="73"/>
      <c r="AC66" s="81">
        <v>137</v>
      </c>
      <c r="AD66" s="81">
        <v>97</v>
      </c>
    </row>
    <row r="67" s="53" customFormat="1" spans="1:30">
      <c r="A67" s="61">
        <v>68722</v>
      </c>
      <c r="B67" s="57" t="s">
        <v>91</v>
      </c>
      <c r="C67" s="87" t="s">
        <v>164</v>
      </c>
      <c r="D67" s="57" t="s">
        <v>36</v>
      </c>
      <c r="F67" s="57">
        <v>2</v>
      </c>
      <c r="G67" s="57">
        <v>2</v>
      </c>
      <c r="H67" s="57">
        <v>24</v>
      </c>
      <c r="I67" s="57">
        <v>26</v>
      </c>
      <c r="J67" s="71">
        <v>0.0833333333333333</v>
      </c>
      <c r="K67" s="57">
        <v>376</v>
      </c>
      <c r="L67" s="57">
        <v>0</v>
      </c>
      <c r="O67" s="73"/>
      <c r="AC67" s="81">
        <v>44</v>
      </c>
      <c r="AD67" s="81">
        <v>4</v>
      </c>
    </row>
    <row r="68" s="53" customFormat="1" spans="1:30">
      <c r="A68" s="61">
        <v>33688</v>
      </c>
      <c r="B68" s="57" t="s">
        <v>130</v>
      </c>
      <c r="C68" s="62" t="s">
        <v>134</v>
      </c>
      <c r="D68" s="57" t="s">
        <v>36</v>
      </c>
      <c r="F68" s="57">
        <v>0</v>
      </c>
      <c r="G68" s="57">
        <v>0</v>
      </c>
      <c r="H68" s="57">
        <v>4</v>
      </c>
      <c r="I68" s="57">
        <v>31</v>
      </c>
      <c r="J68" s="71">
        <v>6.75</v>
      </c>
      <c r="K68" s="57">
        <v>472</v>
      </c>
      <c r="L68" s="57">
        <v>0</v>
      </c>
      <c r="O68" s="73"/>
      <c r="AC68" s="81">
        <v>24</v>
      </c>
      <c r="AD68" s="81">
        <v>-16</v>
      </c>
    </row>
    <row r="69" s="53" customFormat="1" spans="1:30">
      <c r="A69" s="61">
        <v>33692</v>
      </c>
      <c r="B69" s="57" t="s">
        <v>130</v>
      </c>
      <c r="C69" s="62" t="s">
        <v>133</v>
      </c>
      <c r="D69" s="57" t="s">
        <v>36</v>
      </c>
      <c r="F69" s="57">
        <v>0</v>
      </c>
      <c r="G69" s="57">
        <v>0</v>
      </c>
      <c r="H69" s="57">
        <v>16</v>
      </c>
      <c r="I69" s="57">
        <v>1</v>
      </c>
      <c r="J69" s="71">
        <v>-0.9375</v>
      </c>
      <c r="K69" s="57">
        <v>16.8</v>
      </c>
      <c r="L69" s="57">
        <v>0</v>
      </c>
      <c r="O69" s="73"/>
      <c r="AC69" s="81">
        <v>36</v>
      </c>
      <c r="AD69" s="81">
        <v>-4</v>
      </c>
    </row>
    <row r="70" s="53" customFormat="1" spans="1:30">
      <c r="A70" s="61">
        <v>20858</v>
      </c>
      <c r="B70" s="57" t="s">
        <v>130</v>
      </c>
      <c r="C70" s="62" t="s">
        <v>132</v>
      </c>
      <c r="D70" s="57" t="s">
        <v>36</v>
      </c>
      <c r="F70" s="57">
        <v>0</v>
      </c>
      <c r="G70" s="57">
        <v>0</v>
      </c>
      <c r="H70" s="57">
        <v>2</v>
      </c>
      <c r="I70" s="57">
        <v>25</v>
      </c>
      <c r="J70" s="71">
        <v>11.5</v>
      </c>
      <c r="K70" s="57">
        <v>361.9</v>
      </c>
      <c r="L70" s="57">
        <v>1</v>
      </c>
      <c r="O70" s="73"/>
      <c r="AC70" s="81">
        <v>22</v>
      </c>
      <c r="AD70" s="81">
        <v>-18</v>
      </c>
    </row>
    <row r="71" s="53" customFormat="1" hidden="1" spans="1:30">
      <c r="A71" s="61">
        <v>20857</v>
      </c>
      <c r="B71" s="57" t="s">
        <v>130</v>
      </c>
      <c r="C71" s="62" t="s">
        <v>131</v>
      </c>
      <c r="D71" s="57" t="s">
        <v>36</v>
      </c>
      <c r="F71" s="57">
        <v>0</v>
      </c>
      <c r="G71" s="57">
        <v>0</v>
      </c>
      <c r="H71" s="57">
        <v>60</v>
      </c>
      <c r="I71" s="57" t="e">
        <v>#N/A</v>
      </c>
      <c r="J71" s="71" t="e">
        <v>#N/A</v>
      </c>
      <c r="K71" s="57" t="e">
        <v>#N/A</v>
      </c>
      <c r="L71" s="57" t="e">
        <v>#N/A</v>
      </c>
      <c r="O71" s="73"/>
      <c r="AC71" s="81">
        <v>80</v>
      </c>
      <c r="AD71" s="81">
        <v>40</v>
      </c>
    </row>
    <row r="72" s="53" customFormat="1" spans="1:30">
      <c r="A72" s="61">
        <v>68852</v>
      </c>
      <c r="B72" s="57" t="s">
        <v>162</v>
      </c>
      <c r="C72" s="62" t="s">
        <v>163</v>
      </c>
      <c r="D72" s="57" t="s">
        <v>36</v>
      </c>
      <c r="E72" s="53"/>
      <c r="F72" s="57">
        <v>2</v>
      </c>
      <c r="G72" s="57">
        <v>2</v>
      </c>
      <c r="H72" s="57">
        <v>61</v>
      </c>
      <c r="I72" s="57">
        <v>59</v>
      </c>
      <c r="J72" s="71">
        <v>-0.0327868852459016</v>
      </c>
      <c r="K72" s="57">
        <v>685.3</v>
      </c>
      <c r="L72" s="57">
        <v>1</v>
      </c>
      <c r="M72" s="53"/>
      <c r="N72" s="53"/>
      <c r="O72" s="7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81">
        <v>81</v>
      </c>
      <c r="AD72" s="81">
        <v>41</v>
      </c>
    </row>
    <row r="73" s="53" customFormat="1" spans="1:30">
      <c r="A73" s="61">
        <v>62546</v>
      </c>
      <c r="B73" s="57" t="s">
        <v>166</v>
      </c>
      <c r="C73" s="62" t="s">
        <v>169</v>
      </c>
      <c r="D73" s="57" t="s">
        <v>36</v>
      </c>
      <c r="E73" s="53"/>
      <c r="F73" s="57">
        <v>2</v>
      </c>
      <c r="G73" s="57">
        <v>2</v>
      </c>
      <c r="H73" s="57">
        <v>10</v>
      </c>
      <c r="I73" s="57">
        <v>10</v>
      </c>
      <c r="J73" s="71">
        <v>0</v>
      </c>
      <c r="K73" s="57">
        <v>80</v>
      </c>
      <c r="L73" s="57">
        <v>0</v>
      </c>
      <c r="M73" s="53"/>
      <c r="N73" s="53"/>
      <c r="O73" s="7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81">
        <v>30</v>
      </c>
      <c r="AD73" s="81">
        <v>-10</v>
      </c>
    </row>
    <row r="74" s="53" customFormat="1" spans="1:30">
      <c r="A74" s="61">
        <v>22258</v>
      </c>
      <c r="B74" s="57" t="s">
        <v>166</v>
      </c>
      <c r="C74" s="62" t="s">
        <v>167</v>
      </c>
      <c r="D74" s="57" t="s">
        <v>36</v>
      </c>
      <c r="E74" s="53"/>
      <c r="F74" s="57">
        <v>2</v>
      </c>
      <c r="G74" s="57">
        <v>2</v>
      </c>
      <c r="H74" s="57">
        <v>102</v>
      </c>
      <c r="I74" s="57">
        <v>99</v>
      </c>
      <c r="J74" s="71">
        <v>-0.0294117647058824</v>
      </c>
      <c r="K74" s="57">
        <v>780</v>
      </c>
      <c r="L74" s="57">
        <v>0</v>
      </c>
      <c r="M74" s="53"/>
      <c r="N74" s="53"/>
      <c r="O74" s="7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81">
        <v>122</v>
      </c>
      <c r="AD74" s="81">
        <v>82</v>
      </c>
    </row>
    <row r="75" s="53" customFormat="1" spans="1:30">
      <c r="A75" s="61">
        <v>23395</v>
      </c>
      <c r="B75" s="57" t="s">
        <v>166</v>
      </c>
      <c r="C75" s="62" t="s">
        <v>168</v>
      </c>
      <c r="D75" s="57" t="s">
        <v>36</v>
      </c>
      <c r="E75" s="53"/>
      <c r="F75" s="57">
        <v>2</v>
      </c>
      <c r="G75" s="57">
        <v>2</v>
      </c>
      <c r="H75" s="57">
        <v>2</v>
      </c>
      <c r="I75" s="57">
        <v>3</v>
      </c>
      <c r="J75" s="71">
        <v>0.5</v>
      </c>
      <c r="K75" s="57">
        <v>16</v>
      </c>
      <c r="L75" s="57">
        <v>1</v>
      </c>
      <c r="M75" s="53"/>
      <c r="N75" s="53"/>
      <c r="O75" s="7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81">
        <v>22</v>
      </c>
      <c r="AD75" s="81">
        <v>-18</v>
      </c>
    </row>
    <row r="76" s="53" customFormat="1" spans="3:30">
      <c r="C76" s="70"/>
      <c r="O76" s="73"/>
      <c r="AC76" s="81"/>
      <c r="AD76" s="81"/>
    </row>
    <row r="77" spans="9:9">
      <c r="I77" s="88"/>
    </row>
  </sheetData>
  <autoFilter xmlns:etc="http://www.wps.cn/officeDocument/2017/etCustomData" ref="A1:AD75" etc:filterBottomFollowUsedRange="0">
    <filterColumn colId="8">
      <filters>
        <filter val="10"/>
        <filter val="50"/>
        <filter val="11"/>
        <filter val="51"/>
        <filter val="12"/>
        <filter val="13"/>
        <filter val="14"/>
        <filter val="54"/>
        <filter val="15"/>
        <filter val="16"/>
        <filter val="96"/>
        <filter val="18"/>
        <filter val="19"/>
        <filter val="59"/>
        <filter val="99"/>
        <filter val="20"/>
        <filter val="121"/>
        <filter val="22"/>
        <filter val="63"/>
        <filter val="24"/>
        <filter val="64"/>
        <filter val="25"/>
        <filter val="65"/>
        <filter val="26"/>
        <filter val="27"/>
        <filter val="30"/>
        <filter val="31"/>
        <filter val="32"/>
        <filter val="35"/>
        <filter val="37"/>
        <filter val="40"/>
        <filter val="1"/>
        <filter val="41"/>
        <filter val="3"/>
        <filter val="4"/>
        <filter val="5"/>
        <filter val="45"/>
        <filter val="86"/>
        <filter val="8"/>
        <filter val="9"/>
      </filters>
    </filterColumn>
    <sortState ref="A2:AD75">
      <sortCondition ref="C1"/>
    </sortState>
    <extLst/>
  </autoFilter>
  <conditionalFormatting sqref="I2">
    <cfRule type="expression" dxfId="1" priority="44">
      <formula>I1048367&gt;H1048367=20</formula>
    </cfRule>
    <cfRule type="expression" dxfId="1" priority="43">
      <formula>I2&gt;AC2</formula>
    </cfRule>
    <cfRule type="expression" dxfId="0" priority="42">
      <formula>I2&lt;AD2</formula>
    </cfRule>
  </conditionalFormatting>
  <conditionalFormatting sqref="I11">
    <cfRule type="expression" dxfId="1" priority="62">
      <formula>I1048388&gt;H1048388=20</formula>
    </cfRule>
    <cfRule type="expression" dxfId="1" priority="61">
      <formula>I11&gt;AC11</formula>
    </cfRule>
    <cfRule type="expression" dxfId="0" priority="60">
      <formula>I11&lt;AD11</formula>
    </cfRule>
  </conditionalFormatting>
  <conditionalFormatting sqref="I32">
    <cfRule type="expression" dxfId="1" priority="29">
      <formula>I1048436&gt;H1048436=20</formula>
    </cfRule>
    <cfRule type="expression" dxfId="1" priority="28">
      <formula>I32&gt;AC32</formula>
    </cfRule>
    <cfRule type="expression" dxfId="0" priority="27">
      <formula>I32&lt;AD32</formula>
    </cfRule>
  </conditionalFormatting>
  <conditionalFormatting sqref="I43">
    <cfRule type="expression" dxfId="1" priority="15">
      <formula>I1048450&gt;H1048450=20</formula>
    </cfRule>
    <cfRule type="expression" dxfId="1" priority="13">
      <formula>I43&gt;AC43</formula>
    </cfRule>
    <cfRule type="expression" dxfId="0" priority="11">
      <formula>I43&lt;AD43</formula>
    </cfRule>
  </conditionalFormatting>
  <conditionalFormatting sqref="J43">
    <cfRule type="cellIs" dxfId="3" priority="9" operator="greaterThan">
      <formula>0.2</formula>
    </cfRule>
    <cfRule type="cellIs" dxfId="2" priority="7" operator="lessThan">
      <formula>-0.2</formula>
    </cfRule>
  </conditionalFormatting>
  <conditionalFormatting sqref="I44">
    <cfRule type="expression" dxfId="1" priority="14">
      <formula>I1048451&gt;H1048451=20</formula>
    </cfRule>
    <cfRule type="expression" dxfId="1" priority="12">
      <formula>I44&gt;AC44</formula>
    </cfRule>
    <cfRule type="expression" dxfId="0" priority="10">
      <formula>I44&lt;AD44</formula>
    </cfRule>
  </conditionalFormatting>
  <conditionalFormatting sqref="J44">
    <cfRule type="cellIs" dxfId="3" priority="8" operator="greaterThan">
      <formula>0.2</formula>
    </cfRule>
    <cfRule type="cellIs" dxfId="2" priority="6" operator="lessThan">
      <formula>-0.2</formula>
    </cfRule>
  </conditionalFormatting>
  <conditionalFormatting sqref="I75">
    <cfRule type="expression" dxfId="1" priority="5">
      <formula>I1048513&gt;H1048513=20</formula>
    </cfRule>
    <cfRule type="expression" dxfId="1" priority="4">
      <formula>I75&gt;AC75</formula>
    </cfRule>
    <cfRule type="expression" dxfId="0" priority="3">
      <formula>I75&lt;AD75</formula>
    </cfRule>
  </conditionalFormatting>
  <conditionalFormatting sqref="J75">
    <cfRule type="cellIs" dxfId="3" priority="2" operator="greaterThan">
      <formula>0.2</formula>
    </cfRule>
    <cfRule type="cellIs" dxfId="2" priority="1" operator="lessThan">
      <formula>-0.2</formula>
    </cfRule>
  </conditionalFormatting>
  <conditionalFormatting sqref="I3:I4">
    <cfRule type="expression" dxfId="1" priority="56">
      <formula>I1048372&gt;H1048372=20</formula>
    </cfRule>
    <cfRule type="expression" dxfId="1" priority="55">
      <formula>I3&gt;AC3</formula>
    </cfRule>
    <cfRule type="expression" dxfId="0" priority="54">
      <formula>I3&lt;AD3</formula>
    </cfRule>
  </conditionalFormatting>
  <conditionalFormatting sqref="I5:I10">
    <cfRule type="expression" dxfId="1" priority="50">
      <formula>I1048376&gt;H1048376=20</formula>
    </cfRule>
    <cfRule type="expression" dxfId="1" priority="49">
      <formula>I5&gt;AC5</formula>
    </cfRule>
    <cfRule type="expression" dxfId="0" priority="48">
      <formula>I5&lt;AD5</formula>
    </cfRule>
  </conditionalFormatting>
  <conditionalFormatting sqref="I12:I23">
    <cfRule type="expression" dxfId="1" priority="35">
      <formula>I1048390&gt;H1048390=20</formula>
    </cfRule>
    <cfRule type="expression" dxfId="1" priority="34">
      <formula>I12&gt;AC12</formula>
    </cfRule>
    <cfRule type="expression" dxfId="0" priority="33">
      <formula>I12&lt;AD12</formula>
    </cfRule>
  </conditionalFormatting>
  <conditionalFormatting sqref="I24:I25">
    <cfRule type="expression" dxfId="1" priority="53">
      <formula>I1048403&gt;H1048403=20</formula>
    </cfRule>
    <cfRule type="expression" dxfId="1" priority="52">
      <formula>I24&gt;AC24</formula>
    </cfRule>
    <cfRule type="expression" dxfId="0" priority="51">
      <formula>I24&lt;AD24</formula>
    </cfRule>
  </conditionalFormatting>
  <conditionalFormatting sqref="I26:I31">
    <cfRule type="expression" dxfId="1" priority="41">
      <formula>I1048426&gt;H1048426=20</formula>
    </cfRule>
    <cfRule type="expression" dxfId="1" priority="40">
      <formula>I26&gt;AC26</formula>
    </cfRule>
    <cfRule type="expression" dxfId="0" priority="39">
      <formula>I26&lt;AD26</formula>
    </cfRule>
  </conditionalFormatting>
  <conditionalFormatting sqref="I33:I38">
    <cfRule type="expression" dxfId="1" priority="32">
      <formula>I1048438&gt;H1048438=20</formula>
    </cfRule>
    <cfRule type="expression" dxfId="1" priority="31">
      <formula>I33&gt;AC33</formula>
    </cfRule>
    <cfRule type="expression" dxfId="0" priority="30">
      <formula>I33&lt;AD33</formula>
    </cfRule>
  </conditionalFormatting>
  <conditionalFormatting sqref="I59:I63">
    <cfRule type="expression" dxfId="1" priority="38">
      <formula>I1048495&gt;H1048495=20</formula>
    </cfRule>
    <cfRule type="expression" dxfId="1" priority="37">
      <formula>I59&gt;AC59</formula>
    </cfRule>
    <cfRule type="expression" dxfId="0" priority="36">
      <formula>I59&lt;AD59</formula>
    </cfRule>
  </conditionalFormatting>
  <conditionalFormatting sqref="J2 J3:J25 J26:J31 J32:J38 J39:J41 J42 J45:J50 J51:J52 J53:J56 J57:J58 J59:J63 J64:J68 J69:J72 J73 J74">
    <cfRule type="cellIs" dxfId="3" priority="17" operator="greaterThan">
      <formula>0.2</formula>
    </cfRule>
    <cfRule type="cellIs" dxfId="2" priority="16" operator="lessThan">
      <formula>-0.2</formula>
    </cfRule>
  </conditionalFormatting>
  <conditionalFormatting sqref="I39:I41 I42">
    <cfRule type="expression" dxfId="1" priority="23">
      <formula>I1048445&gt;H1048445=20</formula>
    </cfRule>
    <cfRule type="expression" dxfId="1" priority="22">
      <formula>I39&gt;AC39</formula>
    </cfRule>
    <cfRule type="expression" dxfId="0" priority="21">
      <formula>I39&lt;AD39</formula>
    </cfRule>
  </conditionalFormatting>
  <conditionalFormatting sqref="I45:I50 I51">
    <cfRule type="expression" dxfId="1" priority="47">
      <formula>I1048452&gt;H1048452=20</formula>
    </cfRule>
    <cfRule type="expression" dxfId="1" priority="46">
      <formula>I45&gt;AC45</formula>
    </cfRule>
    <cfRule type="expression" dxfId="0" priority="45">
      <formula>I45&lt;AD45</formula>
    </cfRule>
  </conditionalFormatting>
  <conditionalFormatting sqref="I52 I53">
    <cfRule type="expression" dxfId="1" priority="20">
      <formula>I1048461&gt;H1048461=20</formula>
    </cfRule>
    <cfRule type="expression" dxfId="1" priority="19">
      <formula>I52&gt;AC52</formula>
    </cfRule>
    <cfRule type="expression" dxfId="0" priority="18">
      <formula>I52&lt;AD52</formula>
    </cfRule>
  </conditionalFormatting>
  <conditionalFormatting sqref="I54:I56 I57:I58">
    <cfRule type="expression" dxfId="1" priority="26">
      <formula>I1048489&gt;H1048489=20</formula>
    </cfRule>
    <cfRule type="expression" dxfId="1" priority="25">
      <formula>I54&gt;AC54</formula>
    </cfRule>
    <cfRule type="expression" dxfId="0" priority="24">
      <formula>I54&lt;AD54</formula>
    </cfRule>
  </conditionalFormatting>
  <conditionalFormatting sqref="I64:I68 I69:I70">
    <cfRule type="expression" dxfId="1" priority="59">
      <formula>I1048501&gt;H1048501=20</formula>
    </cfRule>
    <cfRule type="expression" dxfId="1" priority="58">
      <formula>I64&gt;AC64</formula>
    </cfRule>
    <cfRule type="expression" dxfId="0" priority="57">
      <formula>I64&lt;AD64</formula>
    </cfRule>
  </conditionalFormatting>
  <conditionalFormatting sqref="I71:I72 I73 I74">
    <cfRule type="expression" dxfId="1" priority="65">
      <formula>I1048509&gt;H1048509=20</formula>
    </cfRule>
    <cfRule type="expression" dxfId="1" priority="64">
      <formula>I71&gt;AC71</formula>
    </cfRule>
    <cfRule type="expression" dxfId="0" priority="63">
      <formula>I71&lt;AD71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1"/>
  <sheetViews>
    <sheetView zoomScale="130" zoomScaleNormal="130" topLeftCell="A16" workbookViewId="0">
      <selection activeCell="G30" sqref="G30"/>
    </sheetView>
  </sheetViews>
  <sheetFormatPr defaultColWidth="9" defaultRowHeight="15.75"/>
  <cols>
    <col min="3" max="3" width="23.8416666666667" customWidth="1"/>
    <col min="13" max="13" width="15.0916666666667" customWidth="1"/>
  </cols>
  <sheetData>
    <row r="1" s="52" customFormat="1" ht="40.8" customHeight="1" spans="1:30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79" t="s">
        <v>19</v>
      </c>
      <c r="AC1" s="80"/>
      <c r="AD1" s="80"/>
    </row>
    <row r="2" s="53" customFormat="1" ht="19.05" customHeight="1" spans="1:30">
      <c r="A2" s="56">
        <v>23401</v>
      </c>
      <c r="B2" s="57" t="s">
        <v>20</v>
      </c>
      <c r="C2" s="58" t="s">
        <v>52</v>
      </c>
      <c r="D2" s="57" t="s">
        <v>22</v>
      </c>
      <c r="F2" s="57">
        <v>0</v>
      </c>
      <c r="G2" s="57">
        <v>1</v>
      </c>
      <c r="H2" s="57">
        <v>3</v>
      </c>
      <c r="I2" s="57">
        <v>0</v>
      </c>
      <c r="J2" s="71">
        <v>-1</v>
      </c>
      <c r="K2" s="57">
        <v>0</v>
      </c>
      <c r="L2" s="57">
        <v>1</v>
      </c>
      <c r="M2" s="56"/>
      <c r="N2" s="56"/>
      <c r="O2" s="72"/>
      <c r="P2" s="56"/>
      <c r="Q2" s="56"/>
      <c r="R2" s="56"/>
      <c r="S2" s="56"/>
      <c r="T2" s="56"/>
      <c r="AC2" s="81">
        <v>23</v>
      </c>
      <c r="AD2" s="81">
        <v>-17</v>
      </c>
    </row>
    <row r="3" s="53" customFormat="1" ht="19.05" customHeight="1" spans="1:30">
      <c r="A3" s="59">
        <v>161673</v>
      </c>
      <c r="B3" s="59" t="s">
        <v>20</v>
      </c>
      <c r="C3" s="60" t="s">
        <v>216</v>
      </c>
      <c r="D3" s="57" t="s">
        <v>22</v>
      </c>
      <c r="F3" s="57">
        <v>0</v>
      </c>
      <c r="G3" s="57">
        <v>0</v>
      </c>
      <c r="H3" s="57">
        <v>1</v>
      </c>
      <c r="I3" s="57">
        <v>4</v>
      </c>
      <c r="J3" s="71">
        <v>3</v>
      </c>
      <c r="K3" s="57">
        <v>22</v>
      </c>
      <c r="L3" s="57">
        <v>3</v>
      </c>
      <c r="O3" s="73"/>
      <c r="AC3" s="81"/>
      <c r="AD3" s="81"/>
    </row>
    <row r="4" s="53" customFormat="1" ht="19.05" customHeight="1" spans="1:30">
      <c r="A4" s="61">
        <v>19662</v>
      </c>
      <c r="B4" s="57" t="s">
        <v>20</v>
      </c>
      <c r="C4" s="62" t="s">
        <v>31</v>
      </c>
      <c r="D4" s="57" t="s">
        <v>22</v>
      </c>
      <c r="F4" s="57">
        <v>2</v>
      </c>
      <c r="G4" s="57">
        <v>1</v>
      </c>
      <c r="H4" s="57">
        <v>22</v>
      </c>
      <c r="I4" s="57">
        <v>5</v>
      </c>
      <c r="J4" s="71">
        <v>-0.772727272727273</v>
      </c>
      <c r="K4" s="57">
        <v>30.4</v>
      </c>
      <c r="L4" s="57">
        <v>3</v>
      </c>
      <c r="M4" s="57" t="s">
        <v>327</v>
      </c>
      <c r="N4" s="57"/>
      <c r="O4" s="74"/>
      <c r="P4" s="57"/>
      <c r="Q4" s="57"/>
      <c r="R4" s="57"/>
      <c r="S4" s="57"/>
      <c r="T4" s="57"/>
      <c r="AC4" s="81">
        <v>42</v>
      </c>
      <c r="AD4" s="81">
        <v>2</v>
      </c>
    </row>
    <row r="5" s="53" customFormat="1" ht="19.05" customHeight="1" spans="1:30">
      <c r="A5" s="61">
        <v>13441</v>
      </c>
      <c r="B5" s="57" t="s">
        <v>20</v>
      </c>
      <c r="C5" s="62" t="s">
        <v>34</v>
      </c>
      <c r="D5" s="57" t="s">
        <v>22</v>
      </c>
      <c r="F5" s="57">
        <v>1</v>
      </c>
      <c r="G5" s="57">
        <v>1</v>
      </c>
      <c r="H5" s="57">
        <v>12</v>
      </c>
      <c r="I5" s="57">
        <v>5</v>
      </c>
      <c r="J5" s="71">
        <v>-0.583333333333333</v>
      </c>
      <c r="K5" s="57">
        <v>54</v>
      </c>
      <c r="L5" s="57">
        <v>1</v>
      </c>
      <c r="M5" s="57"/>
      <c r="N5" s="57"/>
      <c r="O5" s="74"/>
      <c r="P5" s="57"/>
      <c r="Q5" s="57"/>
      <c r="R5" s="57"/>
      <c r="S5" s="57"/>
      <c r="T5" s="57"/>
      <c r="AC5" s="81">
        <v>32</v>
      </c>
      <c r="AD5" s="81">
        <v>-8</v>
      </c>
    </row>
    <row r="6" s="53" customFormat="1" ht="19.05" customHeight="1" spans="1:30">
      <c r="A6" s="56">
        <v>22254</v>
      </c>
      <c r="B6" s="57" t="s">
        <v>20</v>
      </c>
      <c r="C6" s="63" t="s">
        <v>54</v>
      </c>
      <c r="D6" s="57" t="s">
        <v>22</v>
      </c>
      <c r="F6" s="57">
        <v>1</v>
      </c>
      <c r="G6" s="57">
        <v>1</v>
      </c>
      <c r="H6" s="57">
        <v>10</v>
      </c>
      <c r="I6" s="57">
        <v>5</v>
      </c>
      <c r="J6" s="71">
        <v>-0.5</v>
      </c>
      <c r="K6" s="57">
        <v>28</v>
      </c>
      <c r="L6" s="57">
        <v>1</v>
      </c>
      <c r="M6" s="59"/>
      <c r="N6" s="59"/>
      <c r="O6" s="75"/>
      <c r="P6" s="59"/>
      <c r="Q6" s="59"/>
      <c r="R6" s="59"/>
      <c r="S6" s="59"/>
      <c r="T6" s="59"/>
      <c r="AC6" s="81">
        <v>30</v>
      </c>
      <c r="AD6" s="81">
        <v>-10</v>
      </c>
    </row>
    <row r="7" s="54" customFormat="1" ht="19.05" customHeight="1" spans="1:30">
      <c r="A7" s="61">
        <v>13444</v>
      </c>
      <c r="B7" s="57" t="s">
        <v>20</v>
      </c>
      <c r="C7" s="62" t="s">
        <v>41</v>
      </c>
      <c r="D7" s="57" t="s">
        <v>22</v>
      </c>
      <c r="E7" s="53"/>
      <c r="F7" s="57">
        <v>1</v>
      </c>
      <c r="G7" s="57">
        <v>1</v>
      </c>
      <c r="H7" s="57">
        <v>19</v>
      </c>
      <c r="I7" s="57">
        <v>6</v>
      </c>
      <c r="J7" s="71">
        <v>-0.684210526315789</v>
      </c>
      <c r="K7" s="57">
        <v>59</v>
      </c>
      <c r="L7" s="57">
        <v>0</v>
      </c>
      <c r="M7" s="76" t="s">
        <v>328</v>
      </c>
      <c r="N7" s="57"/>
      <c r="O7" s="74"/>
      <c r="P7" s="57"/>
      <c r="Q7" s="57"/>
      <c r="R7" s="57"/>
      <c r="S7" s="57"/>
      <c r="T7" s="57"/>
      <c r="U7" s="53"/>
      <c r="V7" s="53"/>
      <c r="W7" s="53"/>
      <c r="X7" s="53"/>
      <c r="Y7" s="53"/>
      <c r="Z7" s="53"/>
      <c r="AA7" s="53"/>
      <c r="AB7" s="53"/>
      <c r="AC7" s="81">
        <v>39</v>
      </c>
      <c r="AD7" s="81">
        <v>-1</v>
      </c>
    </row>
    <row r="8" s="53" customFormat="1" ht="19.05" customHeight="1" spans="1:30">
      <c r="A8" s="59">
        <v>22253</v>
      </c>
      <c r="B8" s="64" t="s">
        <v>20</v>
      </c>
      <c r="C8" s="65" t="s">
        <v>59</v>
      </c>
      <c r="D8" s="57" t="s">
        <v>22</v>
      </c>
      <c r="F8" s="57">
        <v>2</v>
      </c>
      <c r="G8" s="57">
        <v>2</v>
      </c>
      <c r="H8" s="57">
        <v>10</v>
      </c>
      <c r="I8" s="57">
        <v>6</v>
      </c>
      <c r="J8" s="71">
        <v>-0.4</v>
      </c>
      <c r="K8" s="57">
        <v>25.3</v>
      </c>
      <c r="L8" s="57">
        <v>0</v>
      </c>
      <c r="O8" s="73"/>
      <c r="AC8" s="81">
        <v>30</v>
      </c>
      <c r="AD8" s="81">
        <v>-10</v>
      </c>
    </row>
    <row r="9" s="53" customFormat="1" ht="19.05" customHeight="1" spans="1:30">
      <c r="A9" s="61">
        <v>26396</v>
      </c>
      <c r="B9" s="57" t="s">
        <v>20</v>
      </c>
      <c r="C9" s="62" t="s">
        <v>124</v>
      </c>
      <c r="D9" s="57" t="s">
        <v>22</v>
      </c>
      <c r="F9" s="57">
        <v>1</v>
      </c>
      <c r="G9" s="57">
        <v>1</v>
      </c>
      <c r="H9" s="57">
        <v>4</v>
      </c>
      <c r="I9" s="57">
        <v>7</v>
      </c>
      <c r="J9" s="71">
        <v>0.75</v>
      </c>
      <c r="K9" s="57">
        <v>31.6</v>
      </c>
      <c r="L9" s="57">
        <v>4</v>
      </c>
      <c r="O9" s="73"/>
      <c r="AC9" s="81">
        <v>24</v>
      </c>
      <c r="AD9" s="81">
        <v>-16</v>
      </c>
    </row>
    <row r="10" s="53" customFormat="1" ht="19.05" customHeight="1" spans="1:30">
      <c r="A10" s="61">
        <v>12268</v>
      </c>
      <c r="B10" s="57" t="s">
        <v>20</v>
      </c>
      <c r="C10" s="62" t="s">
        <v>45</v>
      </c>
      <c r="D10" s="57" t="s">
        <v>22</v>
      </c>
      <c r="F10" s="57">
        <v>1</v>
      </c>
      <c r="G10" s="57">
        <v>1</v>
      </c>
      <c r="H10" s="57">
        <v>15</v>
      </c>
      <c r="I10" s="57">
        <v>8</v>
      </c>
      <c r="J10" s="71">
        <v>-0.466666666666667</v>
      </c>
      <c r="K10" s="57">
        <v>64.6</v>
      </c>
      <c r="L10" s="57">
        <v>1</v>
      </c>
      <c r="M10" s="57"/>
      <c r="N10" s="57"/>
      <c r="O10" s="74"/>
      <c r="P10" s="57"/>
      <c r="Q10" s="57"/>
      <c r="R10" s="57"/>
      <c r="S10" s="57"/>
      <c r="T10" s="57"/>
      <c r="AC10" s="81">
        <v>35</v>
      </c>
      <c r="AD10" s="81">
        <v>-5</v>
      </c>
    </row>
    <row r="11" s="53" customFormat="1" ht="19.05" customHeight="1" spans="1:30">
      <c r="A11" s="56">
        <v>19823</v>
      </c>
      <c r="B11" s="57" t="s">
        <v>20</v>
      </c>
      <c r="C11" s="58" t="s">
        <v>53</v>
      </c>
      <c r="D11" s="57" t="s">
        <v>22</v>
      </c>
      <c r="F11" s="57">
        <v>1</v>
      </c>
      <c r="G11" s="57">
        <v>1</v>
      </c>
      <c r="H11" s="57">
        <v>10</v>
      </c>
      <c r="I11" s="57">
        <v>11</v>
      </c>
      <c r="J11" s="71">
        <v>0.1</v>
      </c>
      <c r="K11" s="57">
        <v>50</v>
      </c>
      <c r="L11" s="57">
        <v>2</v>
      </c>
      <c r="M11" s="59"/>
      <c r="N11" s="59"/>
      <c r="O11" s="75"/>
      <c r="P11" s="59"/>
      <c r="Q11" s="59"/>
      <c r="R11" s="59"/>
      <c r="S11" s="59"/>
      <c r="T11" s="59"/>
      <c r="AC11" s="81">
        <v>30</v>
      </c>
      <c r="AD11" s="81">
        <v>-10</v>
      </c>
    </row>
    <row r="12" s="54" customFormat="1" ht="19.05" customHeight="1" spans="1:30">
      <c r="A12" s="59">
        <v>53614</v>
      </c>
      <c r="B12" s="59" t="s">
        <v>20</v>
      </c>
      <c r="C12" s="60" t="s">
        <v>220</v>
      </c>
      <c r="D12" s="57" t="s">
        <v>22</v>
      </c>
      <c r="E12" s="53"/>
      <c r="F12" s="57">
        <v>1</v>
      </c>
      <c r="G12" s="57">
        <v>0</v>
      </c>
      <c r="H12" s="57">
        <v>8</v>
      </c>
      <c r="I12" s="57">
        <v>16</v>
      </c>
      <c r="J12" s="71">
        <v>1</v>
      </c>
      <c r="K12" s="57">
        <v>60.3</v>
      </c>
      <c r="L12" s="57">
        <v>0</v>
      </c>
      <c r="M12" s="53"/>
      <c r="N12" s="53"/>
      <c r="O12" s="7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81"/>
      <c r="AD12" s="81"/>
    </row>
    <row r="13" s="53" customFormat="1" ht="19.05" customHeight="1" spans="1:30">
      <c r="A13" s="59">
        <v>58986</v>
      </c>
      <c r="B13" s="59" t="s">
        <v>20</v>
      </c>
      <c r="C13" s="60" t="s">
        <v>223</v>
      </c>
      <c r="D13" s="57" t="s">
        <v>22</v>
      </c>
      <c r="F13" s="57">
        <v>2</v>
      </c>
      <c r="G13" s="57">
        <v>2</v>
      </c>
      <c r="H13" s="57">
        <v>21</v>
      </c>
      <c r="I13" s="57">
        <v>20</v>
      </c>
      <c r="J13" s="71">
        <v>-0.0476190476190476</v>
      </c>
      <c r="K13" s="57">
        <v>156.85</v>
      </c>
      <c r="L13" s="57">
        <v>2</v>
      </c>
      <c r="O13" s="73"/>
      <c r="AC13" s="81"/>
      <c r="AD13" s="81"/>
    </row>
    <row r="14" s="53" customFormat="1" ht="19.05" customHeight="1" spans="1:30">
      <c r="A14" s="61">
        <v>12239</v>
      </c>
      <c r="B14" s="57" t="s">
        <v>20</v>
      </c>
      <c r="C14" s="62" t="s">
        <v>47</v>
      </c>
      <c r="D14" s="57" t="s">
        <v>22</v>
      </c>
      <c r="F14" s="57">
        <v>1</v>
      </c>
      <c r="G14" s="57">
        <v>1</v>
      </c>
      <c r="H14" s="57">
        <v>38</v>
      </c>
      <c r="I14" s="57">
        <v>21</v>
      </c>
      <c r="J14" s="71">
        <v>-0.447368421052632</v>
      </c>
      <c r="K14" s="57">
        <v>164.8</v>
      </c>
      <c r="L14" s="57">
        <v>4</v>
      </c>
      <c r="M14" s="57"/>
      <c r="N14" s="57"/>
      <c r="O14" s="74"/>
      <c r="P14" s="57"/>
      <c r="Q14" s="57"/>
      <c r="R14" s="57"/>
      <c r="S14" s="57"/>
      <c r="T14" s="57"/>
      <c r="AC14" s="81">
        <v>58</v>
      </c>
      <c r="AD14" s="81">
        <v>18</v>
      </c>
    </row>
    <row r="15" s="53" customFormat="1" ht="19.05" customHeight="1" spans="1:30">
      <c r="A15" s="59">
        <v>33525</v>
      </c>
      <c r="B15" s="59" t="s">
        <v>20</v>
      </c>
      <c r="C15" s="65" t="s">
        <v>39</v>
      </c>
      <c r="D15" s="59" t="s">
        <v>22</v>
      </c>
      <c r="F15" s="57">
        <v>2</v>
      </c>
      <c r="G15" s="57">
        <v>2</v>
      </c>
      <c r="H15" s="57">
        <v>18</v>
      </c>
      <c r="I15" s="57">
        <v>22</v>
      </c>
      <c r="J15" s="71">
        <v>0.222222222222222</v>
      </c>
      <c r="K15" s="57">
        <v>66.5</v>
      </c>
      <c r="L15" s="57">
        <v>1</v>
      </c>
      <c r="M15" s="57"/>
      <c r="N15" s="57"/>
      <c r="O15" s="74"/>
      <c r="P15" s="57"/>
      <c r="Q15" s="57"/>
      <c r="R15" s="57"/>
      <c r="S15" s="57"/>
      <c r="T15" s="57"/>
      <c r="AC15" s="81">
        <v>38</v>
      </c>
      <c r="AD15" s="81">
        <v>-2</v>
      </c>
    </row>
    <row r="16" s="53" customFormat="1" ht="19.05" customHeight="1" spans="1:30">
      <c r="A16" s="61">
        <v>68721</v>
      </c>
      <c r="B16" s="57" t="s">
        <v>20</v>
      </c>
      <c r="C16" s="62" t="s">
        <v>33</v>
      </c>
      <c r="D16" s="57" t="s">
        <v>22</v>
      </c>
      <c r="F16" s="57">
        <v>1</v>
      </c>
      <c r="G16" s="57">
        <v>3</v>
      </c>
      <c r="H16" s="57">
        <v>33</v>
      </c>
      <c r="I16" s="57">
        <v>24</v>
      </c>
      <c r="J16" s="71">
        <v>-0.272727272727273</v>
      </c>
      <c r="K16" s="57">
        <v>273.3</v>
      </c>
      <c r="L16" s="57">
        <v>4</v>
      </c>
      <c r="M16" s="57"/>
      <c r="N16" s="57"/>
      <c r="O16" s="74"/>
      <c r="P16" s="57"/>
      <c r="Q16" s="57"/>
      <c r="R16" s="57"/>
      <c r="S16" s="57"/>
      <c r="T16" s="57"/>
      <c r="AC16" s="81">
        <v>53</v>
      </c>
      <c r="AD16" s="81">
        <v>13</v>
      </c>
    </row>
    <row r="17" s="54" customFormat="1" ht="19.05" customHeight="1" spans="1:30">
      <c r="A17" s="59">
        <v>26397</v>
      </c>
      <c r="B17" s="59" t="s">
        <v>20</v>
      </c>
      <c r="C17" s="60" t="s">
        <v>217</v>
      </c>
      <c r="D17" s="57" t="s">
        <v>22</v>
      </c>
      <c r="E17" s="53"/>
      <c r="F17" s="57">
        <v>1</v>
      </c>
      <c r="G17" s="57">
        <v>1</v>
      </c>
      <c r="H17" s="57">
        <v>26</v>
      </c>
      <c r="I17" s="57">
        <v>27</v>
      </c>
      <c r="J17" s="71">
        <v>0.0384615384615385</v>
      </c>
      <c r="K17" s="57">
        <v>263</v>
      </c>
      <c r="L17" s="57">
        <v>3</v>
      </c>
      <c r="M17" s="53"/>
      <c r="N17" s="53"/>
      <c r="O17" s="7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81"/>
      <c r="AD17" s="81"/>
    </row>
    <row r="18" s="54" customFormat="1" ht="19.05" customHeight="1" spans="1:30">
      <c r="A18" s="61">
        <v>12248</v>
      </c>
      <c r="B18" s="57" t="s">
        <v>20</v>
      </c>
      <c r="C18" s="62" t="s">
        <v>21</v>
      </c>
      <c r="D18" s="57" t="s">
        <v>22</v>
      </c>
      <c r="E18" s="53"/>
      <c r="F18" s="57">
        <v>2</v>
      </c>
      <c r="G18" s="57">
        <v>2</v>
      </c>
      <c r="H18" s="57">
        <v>25</v>
      </c>
      <c r="I18" s="57">
        <v>28</v>
      </c>
      <c r="J18" s="71">
        <v>0.12</v>
      </c>
      <c r="K18" s="57">
        <v>279.8</v>
      </c>
      <c r="L18" s="57">
        <v>2</v>
      </c>
      <c r="M18" s="57"/>
      <c r="N18" s="57"/>
      <c r="O18" s="74"/>
      <c r="P18" s="57"/>
      <c r="Q18" s="57"/>
      <c r="R18" s="57"/>
      <c r="S18" s="57"/>
      <c r="T18" s="57"/>
      <c r="U18" s="53"/>
      <c r="V18" s="53"/>
      <c r="W18" s="53"/>
      <c r="X18" s="53"/>
      <c r="Y18" s="53"/>
      <c r="Z18" s="53"/>
      <c r="AA18" s="53"/>
      <c r="AB18" s="53"/>
      <c r="AC18" s="81">
        <v>45</v>
      </c>
      <c r="AD18" s="81">
        <v>5</v>
      </c>
    </row>
    <row r="19" s="53" customFormat="1" ht="19.05" customHeight="1" spans="1:30">
      <c r="A19" s="59">
        <v>20904</v>
      </c>
      <c r="B19" s="59" t="s">
        <v>20</v>
      </c>
      <c r="C19" s="65" t="s">
        <v>200</v>
      </c>
      <c r="D19" s="57" t="s">
        <v>22</v>
      </c>
      <c r="F19" s="57">
        <v>1</v>
      </c>
      <c r="G19" s="57">
        <v>1</v>
      </c>
      <c r="H19" s="57">
        <v>20</v>
      </c>
      <c r="I19" s="57">
        <v>28</v>
      </c>
      <c r="J19" s="71">
        <v>0.4</v>
      </c>
      <c r="K19" s="57">
        <v>124.85</v>
      </c>
      <c r="L19" s="57">
        <v>2</v>
      </c>
      <c r="O19" s="73"/>
      <c r="AC19" s="81"/>
      <c r="AD19" s="81"/>
    </row>
    <row r="20" s="53" customFormat="1" ht="19.05" customHeight="1" spans="1:30">
      <c r="A20" s="59">
        <v>163631</v>
      </c>
      <c r="B20" s="59" t="s">
        <v>20</v>
      </c>
      <c r="C20" s="60" t="s">
        <v>203</v>
      </c>
      <c r="D20" s="57" t="s">
        <v>22</v>
      </c>
      <c r="F20" s="57">
        <v>0</v>
      </c>
      <c r="G20" s="57">
        <v>0</v>
      </c>
      <c r="H20" s="57">
        <v>18</v>
      </c>
      <c r="I20" s="57">
        <v>31</v>
      </c>
      <c r="J20" s="71">
        <v>0.722222222222222</v>
      </c>
      <c r="K20" s="57">
        <v>168</v>
      </c>
      <c r="L20" s="57">
        <v>0</v>
      </c>
      <c r="O20" s="73"/>
      <c r="AC20" s="81"/>
      <c r="AD20" s="81"/>
    </row>
    <row r="21" s="53" customFormat="1" ht="19.05" customHeight="1" spans="1:30">
      <c r="A21" s="61">
        <v>52935</v>
      </c>
      <c r="B21" s="57" t="s">
        <v>20</v>
      </c>
      <c r="C21" s="62" t="s">
        <v>25</v>
      </c>
      <c r="D21" s="57" t="s">
        <v>22</v>
      </c>
      <c r="F21" s="57">
        <v>2</v>
      </c>
      <c r="G21" s="57">
        <v>2</v>
      </c>
      <c r="H21" s="57">
        <v>49</v>
      </c>
      <c r="I21" s="57">
        <v>33</v>
      </c>
      <c r="J21" s="71">
        <v>-0.326530612244898</v>
      </c>
      <c r="K21" s="57">
        <v>323.9</v>
      </c>
      <c r="L21" s="57">
        <v>2</v>
      </c>
      <c r="M21" s="57"/>
      <c r="N21" s="57"/>
      <c r="O21" s="74"/>
      <c r="P21" s="57"/>
      <c r="Q21" s="57"/>
      <c r="R21" s="57"/>
      <c r="S21" s="57"/>
      <c r="T21" s="57"/>
      <c r="AC21" s="81">
        <v>69</v>
      </c>
      <c r="AD21" s="81">
        <v>29</v>
      </c>
    </row>
    <row r="22" s="53" customFormat="1" ht="19.05" customHeight="1" spans="1:30">
      <c r="A22" s="59">
        <v>100103</v>
      </c>
      <c r="B22" s="59" t="s">
        <v>20</v>
      </c>
      <c r="C22" s="65" t="s">
        <v>189</v>
      </c>
      <c r="D22" s="57" t="s">
        <v>22</v>
      </c>
      <c r="F22" s="57">
        <v>0</v>
      </c>
      <c r="G22" s="57">
        <v>0</v>
      </c>
      <c r="H22" s="57">
        <v>13</v>
      </c>
      <c r="I22" s="57">
        <v>33</v>
      </c>
      <c r="J22" s="71">
        <v>1.53846153846154</v>
      </c>
      <c r="K22" s="57">
        <v>166</v>
      </c>
      <c r="L22" s="57">
        <v>0</v>
      </c>
      <c r="O22" s="73"/>
      <c r="AC22" s="81"/>
      <c r="AD22" s="81"/>
    </row>
    <row r="23" s="53" customFormat="1" spans="1:30">
      <c r="A23" s="61">
        <v>68720</v>
      </c>
      <c r="B23" s="57" t="s">
        <v>20</v>
      </c>
      <c r="C23" s="62" t="s">
        <v>32</v>
      </c>
      <c r="D23" s="57" t="s">
        <v>22</v>
      </c>
      <c r="F23" s="57">
        <v>2</v>
      </c>
      <c r="G23" s="57">
        <v>2</v>
      </c>
      <c r="H23" s="57">
        <v>30</v>
      </c>
      <c r="I23" s="57">
        <v>34</v>
      </c>
      <c r="J23" s="71">
        <v>0.133333333333333</v>
      </c>
      <c r="K23" s="57">
        <v>376.4</v>
      </c>
      <c r="L23" s="57">
        <v>2</v>
      </c>
      <c r="M23" s="57"/>
      <c r="N23" s="57"/>
      <c r="O23" s="74"/>
      <c r="P23" s="57"/>
      <c r="Q23" s="57"/>
      <c r="R23" s="57"/>
      <c r="S23" s="57"/>
      <c r="T23" s="57"/>
      <c r="AC23" s="81">
        <v>50</v>
      </c>
      <c r="AD23" s="81">
        <v>10</v>
      </c>
    </row>
    <row r="24" s="53" customFormat="1" spans="1:30">
      <c r="A24" s="61">
        <v>23399</v>
      </c>
      <c r="B24" s="57" t="s">
        <v>20</v>
      </c>
      <c r="C24" s="62" t="s">
        <v>38</v>
      </c>
      <c r="D24" s="57" t="s">
        <v>22</v>
      </c>
      <c r="F24" s="57">
        <v>2</v>
      </c>
      <c r="G24" s="57">
        <v>2</v>
      </c>
      <c r="H24" s="57">
        <v>41</v>
      </c>
      <c r="I24" s="57">
        <v>40</v>
      </c>
      <c r="J24" s="71">
        <v>-0.024390243902439</v>
      </c>
      <c r="K24" s="57">
        <v>408</v>
      </c>
      <c r="L24" s="57">
        <v>2</v>
      </c>
      <c r="M24" s="57"/>
      <c r="N24" s="57"/>
      <c r="O24" s="74"/>
      <c r="P24" s="57"/>
      <c r="Q24" s="57"/>
      <c r="R24" s="57"/>
      <c r="S24" s="57"/>
      <c r="T24" s="57"/>
      <c r="AC24" s="81">
        <v>61</v>
      </c>
      <c r="AD24" s="81">
        <v>21</v>
      </c>
    </row>
    <row r="25" s="53" customFormat="1" spans="1:30">
      <c r="A25" s="61">
        <v>18890</v>
      </c>
      <c r="B25" s="57" t="s">
        <v>20</v>
      </c>
      <c r="C25" s="62" t="s">
        <v>23</v>
      </c>
      <c r="D25" s="57" t="s">
        <v>22</v>
      </c>
      <c r="F25" s="57">
        <v>3</v>
      </c>
      <c r="G25" s="57">
        <v>3</v>
      </c>
      <c r="H25" s="57">
        <v>63</v>
      </c>
      <c r="I25" s="57">
        <v>57</v>
      </c>
      <c r="J25" s="71">
        <v>-0.0952380952380952</v>
      </c>
      <c r="K25" s="57">
        <v>565.64</v>
      </c>
      <c r="L25" s="57">
        <v>1</v>
      </c>
      <c r="M25" s="57"/>
      <c r="N25" s="57"/>
      <c r="O25" s="74"/>
      <c r="P25" s="57"/>
      <c r="Q25" s="57"/>
      <c r="R25" s="57"/>
      <c r="S25" s="57"/>
      <c r="T25" s="57"/>
      <c r="AC25" s="81">
        <v>83</v>
      </c>
      <c r="AD25" s="81">
        <v>43</v>
      </c>
    </row>
    <row r="26" s="53" customFormat="1" spans="1:30">
      <c r="A26" s="61">
        <v>23400</v>
      </c>
      <c r="B26" s="57" t="s">
        <v>20</v>
      </c>
      <c r="C26" s="62" t="s">
        <v>40</v>
      </c>
      <c r="D26" s="57" t="s">
        <v>22</v>
      </c>
      <c r="F26" s="57">
        <v>1</v>
      </c>
      <c r="G26" s="57">
        <v>1</v>
      </c>
      <c r="H26" s="57">
        <v>49</v>
      </c>
      <c r="I26" s="57">
        <v>57</v>
      </c>
      <c r="J26" s="71">
        <v>0.163265306122449</v>
      </c>
      <c r="K26" s="57">
        <v>356</v>
      </c>
      <c r="L26" s="57">
        <v>8</v>
      </c>
      <c r="M26" s="57"/>
      <c r="N26" s="57"/>
      <c r="O26" s="74"/>
      <c r="P26" s="57"/>
      <c r="Q26" s="57"/>
      <c r="R26" s="57"/>
      <c r="S26" s="57"/>
      <c r="T26" s="57"/>
      <c r="AC26" s="81">
        <v>69</v>
      </c>
      <c r="AD26" s="81">
        <v>29</v>
      </c>
    </row>
    <row r="27" s="53" customFormat="1" spans="1:30">
      <c r="A27" s="59">
        <v>26698</v>
      </c>
      <c r="B27" s="59" t="s">
        <v>20</v>
      </c>
      <c r="C27" s="60" t="s">
        <v>204</v>
      </c>
      <c r="D27" s="57" t="s">
        <v>22</v>
      </c>
      <c r="F27" s="57">
        <v>2</v>
      </c>
      <c r="G27" s="57">
        <v>3</v>
      </c>
      <c r="H27" s="57">
        <v>49</v>
      </c>
      <c r="I27" s="57">
        <v>60</v>
      </c>
      <c r="J27" s="71">
        <v>0.224489795918367</v>
      </c>
      <c r="K27" s="57">
        <v>476</v>
      </c>
      <c r="L27" s="57">
        <v>2</v>
      </c>
      <c r="O27" s="73"/>
      <c r="AC27" s="81"/>
      <c r="AD27" s="81"/>
    </row>
    <row r="28" s="53" customFormat="1" spans="1:30">
      <c r="A28" s="61">
        <v>12266</v>
      </c>
      <c r="B28" s="57" t="s">
        <v>20</v>
      </c>
      <c r="C28" s="62" t="s">
        <v>48</v>
      </c>
      <c r="D28" s="57" t="s">
        <v>22</v>
      </c>
      <c r="F28" s="57">
        <v>2</v>
      </c>
      <c r="G28" s="57">
        <v>2</v>
      </c>
      <c r="H28" s="57">
        <v>70</v>
      </c>
      <c r="I28" s="57">
        <v>79</v>
      </c>
      <c r="J28" s="71">
        <v>0.128571428571429</v>
      </c>
      <c r="K28" s="57">
        <v>281.05</v>
      </c>
      <c r="L28" s="57">
        <v>1</v>
      </c>
      <c r="M28" s="57"/>
      <c r="N28" s="57"/>
      <c r="O28" s="74"/>
      <c r="P28" s="57"/>
      <c r="Q28" s="57"/>
      <c r="R28" s="57"/>
      <c r="S28" s="57"/>
      <c r="T28" s="57"/>
      <c r="AC28" s="81">
        <v>90</v>
      </c>
      <c r="AD28" s="81">
        <v>50</v>
      </c>
    </row>
    <row r="29" s="53" customFormat="1" spans="1:30">
      <c r="A29" s="61">
        <v>26394</v>
      </c>
      <c r="B29" s="57" t="s">
        <v>20</v>
      </c>
      <c r="C29" s="62" t="s">
        <v>125</v>
      </c>
      <c r="D29" s="57" t="s">
        <v>22</v>
      </c>
      <c r="F29" s="57">
        <v>2</v>
      </c>
      <c r="G29" s="57">
        <v>2</v>
      </c>
      <c r="H29" s="57">
        <v>91</v>
      </c>
      <c r="I29" s="57">
        <v>81</v>
      </c>
      <c r="J29" s="71">
        <v>-0.10989010989011</v>
      </c>
      <c r="K29" s="57">
        <v>357.6</v>
      </c>
      <c r="L29" s="57">
        <v>5</v>
      </c>
      <c r="O29" s="73"/>
      <c r="AC29" s="81">
        <v>111</v>
      </c>
      <c r="AD29" s="81">
        <v>71</v>
      </c>
    </row>
    <row r="30" s="53" customFormat="1" spans="1:30">
      <c r="A30" s="61">
        <v>35948</v>
      </c>
      <c r="B30" s="57" t="s">
        <v>20</v>
      </c>
      <c r="C30" s="62" t="s">
        <v>26</v>
      </c>
      <c r="D30" s="57" t="s">
        <v>22</v>
      </c>
      <c r="F30" s="57">
        <v>4</v>
      </c>
      <c r="G30" s="57">
        <v>3</v>
      </c>
      <c r="H30" s="57">
        <v>96</v>
      </c>
      <c r="I30" s="57">
        <v>83</v>
      </c>
      <c r="J30" s="71">
        <v>-0.135416666666667</v>
      </c>
      <c r="K30" s="57">
        <v>922.5</v>
      </c>
      <c r="L30" s="57">
        <v>2</v>
      </c>
      <c r="M30" s="57"/>
      <c r="N30" s="57"/>
      <c r="O30" s="74"/>
      <c r="P30" s="57"/>
      <c r="Q30" s="57"/>
      <c r="R30" s="57"/>
      <c r="S30" s="57"/>
      <c r="T30" s="57"/>
      <c r="AC30" s="81">
        <v>116</v>
      </c>
      <c r="AD30" s="81">
        <v>76</v>
      </c>
    </row>
    <row r="31" s="53" customFormat="1" spans="1:30">
      <c r="A31" s="61">
        <v>16690</v>
      </c>
      <c r="B31" s="57" t="s">
        <v>20</v>
      </c>
      <c r="C31" s="62" t="s">
        <v>44</v>
      </c>
      <c r="D31" s="57" t="s">
        <v>22</v>
      </c>
      <c r="F31" s="57">
        <v>3</v>
      </c>
      <c r="G31" s="57">
        <v>2</v>
      </c>
      <c r="H31" s="57">
        <v>45</v>
      </c>
      <c r="I31" s="57">
        <v>97</v>
      </c>
      <c r="J31" s="71">
        <v>1.15555555555556</v>
      </c>
      <c r="K31" s="57">
        <v>463.5</v>
      </c>
      <c r="L31" s="57">
        <v>1</v>
      </c>
      <c r="M31" s="57"/>
      <c r="N31" s="57"/>
      <c r="O31" s="74"/>
      <c r="P31" s="57"/>
      <c r="Q31" s="57"/>
      <c r="R31" s="57"/>
      <c r="S31" s="57"/>
      <c r="T31" s="57"/>
      <c r="AC31" s="81">
        <v>65</v>
      </c>
      <c r="AD31" s="81">
        <v>25</v>
      </c>
    </row>
    <row r="32" s="53" customFormat="1" spans="1:30">
      <c r="A32" s="61">
        <v>51776</v>
      </c>
      <c r="B32" s="57" t="s">
        <v>20</v>
      </c>
      <c r="C32" s="62" t="s">
        <v>24</v>
      </c>
      <c r="D32" s="57" t="s">
        <v>22</v>
      </c>
      <c r="F32" s="57">
        <v>5</v>
      </c>
      <c r="G32" s="57">
        <v>4</v>
      </c>
      <c r="H32" s="57">
        <v>343</v>
      </c>
      <c r="I32" s="57">
        <v>408</v>
      </c>
      <c r="J32" s="71">
        <v>0.189504373177843</v>
      </c>
      <c r="K32" s="57">
        <v>4694.74</v>
      </c>
      <c r="L32" s="57">
        <v>3</v>
      </c>
      <c r="M32" s="57"/>
      <c r="N32" s="57"/>
      <c r="O32" s="74"/>
      <c r="P32" s="57"/>
      <c r="Q32" s="57"/>
      <c r="R32" s="57"/>
      <c r="S32" s="57"/>
      <c r="T32" s="57"/>
      <c r="AC32" s="81">
        <v>363</v>
      </c>
      <c r="AD32" s="81">
        <v>323</v>
      </c>
    </row>
    <row r="33" s="53" customFormat="1" spans="1:30">
      <c r="A33" s="66">
        <v>19712</v>
      </c>
      <c r="B33" s="67" t="s">
        <v>20</v>
      </c>
      <c r="C33" s="68" t="s">
        <v>30</v>
      </c>
      <c r="D33" s="67" t="s">
        <v>22</v>
      </c>
      <c r="E33" s="54"/>
      <c r="F33" s="67">
        <v>0</v>
      </c>
      <c r="G33" s="67">
        <v>0</v>
      </c>
      <c r="H33" s="67" t="e">
        <v>#N/A</v>
      </c>
      <c r="I33" s="67" t="e">
        <v>#N/A</v>
      </c>
      <c r="J33" s="77" t="e">
        <v>#N/A</v>
      </c>
      <c r="K33" s="67" t="e">
        <v>#N/A</v>
      </c>
      <c r="L33" s="67" t="e">
        <v>#N/A</v>
      </c>
      <c r="M33" s="67"/>
      <c r="N33" s="67"/>
      <c r="O33" s="78"/>
      <c r="P33" s="67"/>
      <c r="Q33" s="67"/>
      <c r="R33" s="67"/>
      <c r="S33" s="67"/>
      <c r="T33" s="67"/>
      <c r="U33" s="54"/>
      <c r="V33" s="54"/>
      <c r="W33" s="54"/>
      <c r="X33" s="54"/>
      <c r="Y33" s="54"/>
      <c r="Z33" s="54"/>
      <c r="AA33" s="54"/>
      <c r="AB33" s="54"/>
      <c r="AC33" s="82" t="e">
        <v>#N/A</v>
      </c>
      <c r="AD33" s="82" t="e">
        <v>#N/A</v>
      </c>
    </row>
    <row r="34" s="53" customFormat="1" spans="1:30">
      <c r="A34" s="66">
        <v>22520</v>
      </c>
      <c r="B34" s="67" t="s">
        <v>20</v>
      </c>
      <c r="C34" s="68" t="s">
        <v>37</v>
      </c>
      <c r="D34" s="67" t="s">
        <v>22</v>
      </c>
      <c r="E34" s="54"/>
      <c r="F34" s="67">
        <v>0</v>
      </c>
      <c r="G34" s="67">
        <v>0</v>
      </c>
      <c r="H34" s="67" t="e">
        <v>#N/A</v>
      </c>
      <c r="I34" s="67" t="e">
        <v>#N/A</v>
      </c>
      <c r="J34" s="77" t="e">
        <v>#N/A</v>
      </c>
      <c r="K34" s="67" t="e">
        <v>#N/A</v>
      </c>
      <c r="L34" s="67" t="e">
        <v>#N/A</v>
      </c>
      <c r="M34" s="67"/>
      <c r="N34" s="67"/>
      <c r="O34" s="78"/>
      <c r="P34" s="67"/>
      <c r="Q34" s="67"/>
      <c r="R34" s="67"/>
      <c r="S34" s="67"/>
      <c r="T34" s="67"/>
      <c r="U34" s="54"/>
      <c r="V34" s="54"/>
      <c r="W34" s="54"/>
      <c r="X34" s="54"/>
      <c r="Y34" s="54"/>
      <c r="Z34" s="54"/>
      <c r="AA34" s="54"/>
      <c r="AB34" s="54"/>
      <c r="AC34" s="82" t="e">
        <v>#N/A</v>
      </c>
      <c r="AD34" s="82" t="e">
        <v>#N/A</v>
      </c>
    </row>
    <row r="35" s="53" customFormat="1" spans="1:30">
      <c r="A35" s="66">
        <v>21634</v>
      </c>
      <c r="B35" s="67" t="s">
        <v>20</v>
      </c>
      <c r="C35" s="68" t="s">
        <v>42</v>
      </c>
      <c r="D35" s="67" t="s">
        <v>22</v>
      </c>
      <c r="E35" s="54"/>
      <c r="F35" s="67">
        <v>0</v>
      </c>
      <c r="G35" s="67">
        <v>0</v>
      </c>
      <c r="H35" s="67" t="e">
        <v>#N/A</v>
      </c>
      <c r="I35" s="67" t="e">
        <v>#N/A</v>
      </c>
      <c r="J35" s="77" t="e">
        <v>#N/A</v>
      </c>
      <c r="K35" s="67" t="e">
        <v>#N/A</v>
      </c>
      <c r="L35" s="67" t="e">
        <v>#N/A</v>
      </c>
      <c r="M35" s="67"/>
      <c r="N35" s="67"/>
      <c r="O35" s="78"/>
      <c r="P35" s="67"/>
      <c r="Q35" s="67"/>
      <c r="R35" s="67"/>
      <c r="S35" s="67"/>
      <c r="T35" s="67"/>
      <c r="U35" s="54"/>
      <c r="V35" s="54"/>
      <c r="W35" s="54"/>
      <c r="X35" s="54"/>
      <c r="Y35" s="54"/>
      <c r="Z35" s="54"/>
      <c r="AA35" s="54"/>
      <c r="AB35" s="54"/>
      <c r="AC35" s="82" t="e">
        <v>#N/A</v>
      </c>
      <c r="AD35" s="82" t="e">
        <v>#N/A</v>
      </c>
    </row>
    <row r="36" s="53" customFormat="1" spans="1:30">
      <c r="A36" s="66">
        <v>19391</v>
      </c>
      <c r="B36" s="67" t="s">
        <v>20</v>
      </c>
      <c r="C36" s="68" t="s">
        <v>43</v>
      </c>
      <c r="D36" s="67" t="s">
        <v>22</v>
      </c>
      <c r="E36" s="54"/>
      <c r="F36" s="67">
        <v>0</v>
      </c>
      <c r="G36" s="67">
        <v>0</v>
      </c>
      <c r="H36" s="67" t="e">
        <v>#N/A</v>
      </c>
      <c r="I36" s="67" t="e">
        <v>#N/A</v>
      </c>
      <c r="J36" s="77" t="e">
        <v>#N/A</v>
      </c>
      <c r="K36" s="67" t="e">
        <v>#N/A</v>
      </c>
      <c r="L36" s="67" t="e">
        <v>#N/A</v>
      </c>
      <c r="M36" s="67"/>
      <c r="N36" s="67"/>
      <c r="O36" s="78"/>
      <c r="P36" s="67"/>
      <c r="Q36" s="67"/>
      <c r="R36" s="67"/>
      <c r="S36" s="67"/>
      <c r="T36" s="67"/>
      <c r="U36" s="54"/>
      <c r="V36" s="54"/>
      <c r="W36" s="54"/>
      <c r="X36" s="54"/>
      <c r="Y36" s="54"/>
      <c r="Z36" s="54"/>
      <c r="AA36" s="54"/>
      <c r="AB36" s="54"/>
      <c r="AC36" s="82" t="e">
        <v>#N/A</v>
      </c>
      <c r="AD36" s="82" t="e">
        <v>#N/A</v>
      </c>
    </row>
    <row r="37" s="53" customFormat="1" spans="2:30">
      <c r="B37" s="53" t="s">
        <v>225</v>
      </c>
      <c r="C37" s="69" t="s">
        <v>226</v>
      </c>
      <c r="D37" s="57" t="s">
        <v>22</v>
      </c>
      <c r="G37" s="57">
        <v>2</v>
      </c>
      <c r="O37" s="73"/>
      <c r="AC37" s="81"/>
      <c r="AD37" s="81"/>
    </row>
    <row r="38" s="53" customFormat="1" spans="2:30">
      <c r="B38" s="53" t="s">
        <v>225</v>
      </c>
      <c r="C38" s="69" t="s">
        <v>227</v>
      </c>
      <c r="D38" s="57" t="s">
        <v>22</v>
      </c>
      <c r="G38" s="57">
        <v>2</v>
      </c>
      <c r="O38" s="73"/>
      <c r="AC38" s="81"/>
      <c r="AD38" s="81"/>
    </row>
    <row r="39" s="53" customFormat="1" spans="2:30">
      <c r="B39" s="53" t="s">
        <v>225</v>
      </c>
      <c r="C39" s="69" t="s">
        <v>228</v>
      </c>
      <c r="D39" s="57" t="s">
        <v>22</v>
      </c>
      <c r="G39" s="57">
        <v>2</v>
      </c>
      <c r="O39" s="73"/>
      <c r="AC39" s="81"/>
      <c r="AD39" s="81"/>
    </row>
    <row r="40" s="53" customFormat="1" spans="2:30">
      <c r="B40" s="53" t="s">
        <v>225</v>
      </c>
      <c r="C40" s="69" t="s">
        <v>229</v>
      </c>
      <c r="D40" s="57" t="s">
        <v>22</v>
      </c>
      <c r="G40" s="57">
        <v>2</v>
      </c>
      <c r="O40" s="73"/>
      <c r="AC40" s="81"/>
      <c r="AD40" s="81"/>
    </row>
    <row r="41" s="53" customFormat="1" spans="3:30">
      <c r="C41" s="70"/>
      <c r="O41" s="73"/>
      <c r="AC41" s="81"/>
      <c r="AD41" s="81"/>
    </row>
  </sheetData>
  <autoFilter xmlns:etc="http://www.wps.cn/officeDocument/2017/etCustomData" ref="A1:AD40" etc:filterBottomFollowUsedRange="0">
    <sortState ref="A1:AD40">
      <sortCondition ref="I1"/>
    </sortState>
    <extLst/>
  </autoFilter>
  <conditionalFormatting sqref="I29">
    <cfRule type="expression" dxfId="1" priority="5">
      <formula>I1048464&gt;H1048464=20</formula>
    </cfRule>
    <cfRule type="expression" dxfId="1" priority="4">
      <formula>I29&gt;AC29</formula>
    </cfRule>
    <cfRule type="expression" dxfId="0" priority="3">
      <formula>I29&lt;AD29</formula>
    </cfRule>
  </conditionalFormatting>
  <conditionalFormatting sqref="I27:I28">
    <cfRule type="expression" dxfId="1" priority="14">
      <formula>I1048414&gt;H1048414=20</formula>
    </cfRule>
    <cfRule type="expression" dxfId="1" priority="13">
      <formula>I27&gt;AC27</formula>
    </cfRule>
    <cfRule type="expression" dxfId="0" priority="12">
      <formula>I27&lt;AD27</formula>
    </cfRule>
  </conditionalFormatting>
  <conditionalFormatting sqref="I2:I6 I7:I11 I12:I14">
    <cfRule type="expression" dxfId="1" priority="11">
      <formula>I1048367&gt;H1048367=20</formula>
    </cfRule>
    <cfRule type="expression" dxfId="1" priority="10">
      <formula>I2&gt;AC2</formula>
    </cfRule>
    <cfRule type="expression" dxfId="0" priority="9">
      <formula>I2&lt;AD2</formula>
    </cfRule>
  </conditionalFormatting>
  <conditionalFormatting sqref="J2:J6 J7:J11 J12:J20 J21:J22 J23:J25 J26 J27:J28 J29 J30 J31:J32 J33:J34 J35 J36">
    <cfRule type="cellIs" dxfId="3" priority="2" operator="greaterThan">
      <formula>0.2</formula>
    </cfRule>
    <cfRule type="cellIs" dxfId="2" priority="1" operator="lessThan">
      <formula>-0.2</formula>
    </cfRule>
  </conditionalFormatting>
  <conditionalFormatting sqref="I15:I20 I21">
    <cfRule type="expression" dxfId="1" priority="20">
      <formula>I1048381&gt;H1048381=20</formula>
    </cfRule>
    <cfRule type="expression" dxfId="1" priority="19">
      <formula>I15&gt;AC15</formula>
    </cfRule>
    <cfRule type="expression" dxfId="0" priority="18">
      <formula>I15&lt;AD15</formula>
    </cfRule>
  </conditionalFormatting>
  <conditionalFormatting sqref="I22 I23:I25 I26">
    <cfRule type="expression" dxfId="1" priority="17">
      <formula>I1048390&gt;H1048390=20</formula>
    </cfRule>
    <cfRule type="expression" dxfId="1" priority="16">
      <formula>I22&gt;AC22</formula>
    </cfRule>
    <cfRule type="expression" dxfId="0" priority="15">
      <formula>I22&lt;AD22</formula>
    </cfRule>
  </conditionalFormatting>
  <conditionalFormatting sqref="I30 I31:I32">
    <cfRule type="expression" dxfId="1" priority="8">
      <formula>I1048466&gt;H1048466=20</formula>
    </cfRule>
    <cfRule type="expression" dxfId="1" priority="7">
      <formula>I30&gt;AC30</formula>
    </cfRule>
    <cfRule type="expression" dxfId="0" priority="6">
      <formula>I30&lt;AD30</formula>
    </cfRule>
  </conditionalFormatting>
  <conditionalFormatting sqref="I33:I34 I35 I36">
    <cfRule type="expression" dxfId="1" priority="23">
      <formula>I1048471&gt;H1048471=20</formula>
    </cfRule>
    <cfRule type="expression" dxfId="1" priority="22">
      <formula>I33&gt;AC33</formula>
    </cfRule>
    <cfRule type="expression" dxfId="0" priority="21">
      <formula>I33&lt;AD33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H3" sqref="H3"/>
    </sheetView>
  </sheetViews>
  <sheetFormatPr defaultColWidth="9" defaultRowHeight="15.75" outlineLevelRow="3"/>
  <cols>
    <col min="1" max="2" width="8.75" customWidth="1"/>
    <col min="3" max="3" width="13.875" customWidth="1"/>
    <col min="4" max="4" width="8.75" customWidth="1"/>
    <col min="5" max="5" width="10.375" customWidth="1"/>
    <col min="6" max="6" width="16.625" customWidth="1"/>
    <col min="7" max="7" width="13.875" customWidth="1"/>
    <col min="8" max="9" width="11.25" customWidth="1"/>
    <col min="10" max="10" width="10.375" customWidth="1"/>
  </cols>
  <sheetData>
    <row r="1" s="41" customFormat="1" ht="18.75" spans="1:10">
      <c r="A1" s="42" t="s">
        <v>329</v>
      </c>
      <c r="B1" s="42" t="s">
        <v>330</v>
      </c>
      <c r="C1" s="42" t="s">
        <v>331</v>
      </c>
      <c r="D1" s="42" t="s">
        <v>332</v>
      </c>
      <c r="E1" s="43" t="s">
        <v>333</v>
      </c>
      <c r="F1" s="44" t="s">
        <v>334</v>
      </c>
      <c r="G1" s="45" t="s">
        <v>335</v>
      </c>
      <c r="H1" s="42" t="s">
        <v>336</v>
      </c>
      <c r="I1" s="42" t="s">
        <v>337</v>
      </c>
      <c r="J1" s="50" t="s">
        <v>338</v>
      </c>
    </row>
    <row r="2" s="41" customFormat="1" ht="18.75" spans="1:10">
      <c r="A2" s="42" t="s">
        <v>339</v>
      </c>
      <c r="B2" s="42">
        <v>56</v>
      </c>
      <c r="C2" s="42">
        <v>49</v>
      </c>
      <c r="D2" s="42">
        <v>82</v>
      </c>
      <c r="E2" s="43">
        <f>C2/B2</f>
        <v>0.875</v>
      </c>
      <c r="F2" s="46">
        <f>D2/B2</f>
        <v>1.46428571428571</v>
      </c>
      <c r="G2" s="47">
        <v>0.77</v>
      </c>
      <c r="H2" s="48">
        <v>1775</v>
      </c>
      <c r="I2" s="48">
        <v>2959</v>
      </c>
      <c r="J2" s="51">
        <f>(H2/I2)-1</f>
        <v>-0.400135180804326</v>
      </c>
    </row>
    <row r="3" s="41" customFormat="1" ht="18.75" spans="1:10">
      <c r="A3" s="42" t="s">
        <v>340</v>
      </c>
      <c r="B3" s="42">
        <v>68</v>
      </c>
      <c r="C3" s="42">
        <v>52</v>
      </c>
      <c r="D3" s="42">
        <v>101</v>
      </c>
      <c r="E3" s="43">
        <f>C3/B3</f>
        <v>0.764705882352941</v>
      </c>
      <c r="F3" s="46">
        <f>D3/B3</f>
        <v>1.48529411764706</v>
      </c>
      <c r="G3" s="47">
        <v>0.72</v>
      </c>
      <c r="H3" s="48">
        <v>1899</v>
      </c>
      <c r="I3" s="48">
        <v>2499</v>
      </c>
      <c r="J3" s="51">
        <f>(H3/I3)-1</f>
        <v>-0.240096038415366</v>
      </c>
    </row>
    <row r="4" s="41" customFormat="1" ht="18.75" spans="1:10">
      <c r="A4" s="42" t="s">
        <v>22</v>
      </c>
      <c r="B4" s="42">
        <v>28</v>
      </c>
      <c r="C4" s="42">
        <v>28</v>
      </c>
      <c r="D4" s="42">
        <v>49</v>
      </c>
      <c r="E4" s="43">
        <f>C4/B4</f>
        <v>1</v>
      </c>
      <c r="F4" s="46">
        <f>D4/B4</f>
        <v>1.75</v>
      </c>
      <c r="G4" s="49">
        <v>1</v>
      </c>
      <c r="H4" s="42">
        <v>1336</v>
      </c>
      <c r="I4" s="42">
        <v>1252</v>
      </c>
      <c r="J4" s="51">
        <f>(H4/I4)-1</f>
        <v>0.0670926517571886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H19" sqref="H19"/>
    </sheetView>
  </sheetViews>
  <sheetFormatPr defaultColWidth="9" defaultRowHeight="15.75" outlineLevelRow="2"/>
  <cols>
    <col min="1" max="1" width="13.375" customWidth="1"/>
    <col min="8" max="8" width="14.125" customWidth="1"/>
    <col min="9" max="9" width="13.75" customWidth="1"/>
  </cols>
  <sheetData>
    <row r="1" spans="1:16">
      <c r="A1" s="37">
        <v>46129</v>
      </c>
      <c r="B1" s="38" t="s">
        <v>341</v>
      </c>
      <c r="C1" s="38" t="s">
        <v>342</v>
      </c>
      <c r="D1" s="38" t="s">
        <v>343</v>
      </c>
      <c r="E1" s="38" t="s">
        <v>344</v>
      </c>
      <c r="F1" s="38" t="s">
        <v>345</v>
      </c>
      <c r="G1" s="38"/>
      <c r="H1" s="39">
        <v>46129.3576388889</v>
      </c>
      <c r="I1" s="39">
        <v>46129.3576388889</v>
      </c>
      <c r="J1" s="38">
        <v>0</v>
      </c>
      <c r="K1" s="38" t="s">
        <v>346</v>
      </c>
      <c r="L1" s="38"/>
      <c r="M1" s="38" t="s">
        <v>347</v>
      </c>
      <c r="N1" s="38" t="s">
        <v>348</v>
      </c>
      <c r="O1" s="38" t="s">
        <v>349</v>
      </c>
      <c r="P1" s="38"/>
    </row>
    <row r="2" spans="1:16">
      <c r="A2" s="37">
        <v>46128</v>
      </c>
      <c r="B2" s="38" t="s">
        <v>22</v>
      </c>
      <c r="C2" s="38" t="s">
        <v>350</v>
      </c>
      <c r="D2" s="38"/>
      <c r="E2" s="38" t="s">
        <v>351</v>
      </c>
      <c r="F2" s="38" t="s">
        <v>352</v>
      </c>
      <c r="G2" s="40" t="s">
        <v>353</v>
      </c>
      <c r="H2" s="39">
        <v>46128.5555555556</v>
      </c>
      <c r="I2" s="38"/>
      <c r="J2" s="38">
        <v>-1107085.3</v>
      </c>
      <c r="K2" s="38" t="s">
        <v>20</v>
      </c>
      <c r="L2" s="38"/>
      <c r="M2" s="38" t="s">
        <v>347</v>
      </c>
      <c r="N2" s="38" t="s">
        <v>348</v>
      </c>
      <c r="O2" s="38" t="s">
        <v>349</v>
      </c>
      <c r="P2" s="38"/>
    </row>
    <row r="3" spans="1:16">
      <c r="A3" s="37">
        <v>46125</v>
      </c>
      <c r="B3" s="38" t="s">
        <v>341</v>
      </c>
      <c r="C3" s="38" t="s">
        <v>354</v>
      </c>
      <c r="D3" s="38" t="s">
        <v>355</v>
      </c>
      <c r="E3" s="38" t="s">
        <v>356</v>
      </c>
      <c r="F3" s="38" t="s">
        <v>352</v>
      </c>
      <c r="G3" s="38"/>
      <c r="H3" s="39">
        <v>46125.3638888889</v>
      </c>
      <c r="I3" s="38"/>
      <c r="J3" s="38">
        <v>-1107008.7</v>
      </c>
      <c r="K3" s="38" t="s">
        <v>153</v>
      </c>
      <c r="L3" s="38"/>
      <c r="M3" s="38" t="s">
        <v>347</v>
      </c>
      <c r="N3" s="38" t="s">
        <v>348</v>
      </c>
      <c r="O3" s="38" t="s">
        <v>349</v>
      </c>
      <c r="P3" s="38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T12"/>
  <sheetViews>
    <sheetView workbookViewId="0">
      <selection activeCell="C3" sqref="C3:J12"/>
    </sheetView>
  </sheetViews>
  <sheetFormatPr defaultColWidth="9" defaultRowHeight="15.75"/>
  <cols>
    <col min="3" max="3" width="15.625" customWidth="1"/>
    <col min="4" max="4" width="16.75" customWidth="1"/>
    <col min="6" max="6" width="12.625" customWidth="1"/>
    <col min="8" max="8" width="22.375" customWidth="1"/>
    <col min="11" max="11" width="13.875" customWidth="1"/>
    <col min="12" max="12" width="12.625" customWidth="1"/>
  </cols>
  <sheetData>
    <row r="1" s="1" customFormat="1" ht="35" customHeight="1" spans="1:12">
      <c r="A1" s="5" t="s">
        <v>357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2" customFormat="1" ht="71" customHeight="1" spans="1:12">
      <c r="A2" s="6" t="s">
        <v>358</v>
      </c>
      <c r="B2" s="6" t="s">
        <v>359</v>
      </c>
      <c r="C2" s="7" t="s">
        <v>360</v>
      </c>
      <c r="D2" s="8" t="s">
        <v>361</v>
      </c>
      <c r="E2" s="9" t="s">
        <v>362</v>
      </c>
      <c r="F2" s="10" t="s">
        <v>363</v>
      </c>
      <c r="G2" s="11" t="s">
        <v>364</v>
      </c>
      <c r="H2" s="11" t="s">
        <v>365</v>
      </c>
      <c r="I2" s="26" t="s">
        <v>366</v>
      </c>
      <c r="J2" s="27" t="s">
        <v>367</v>
      </c>
      <c r="K2" s="28" t="s">
        <v>368</v>
      </c>
      <c r="L2" s="6" t="s">
        <v>369</v>
      </c>
    </row>
    <row r="3" s="3" customFormat="1" ht="48" customHeight="1" spans="1:16373">
      <c r="A3" s="12">
        <v>1</v>
      </c>
      <c r="B3" s="13" t="s">
        <v>91</v>
      </c>
      <c r="C3" s="12" t="s">
        <v>370</v>
      </c>
      <c r="D3" s="14" t="s">
        <v>371</v>
      </c>
      <c r="E3" s="15">
        <v>2</v>
      </c>
      <c r="F3" s="16">
        <v>1</v>
      </c>
      <c r="G3" s="17">
        <v>-3</v>
      </c>
      <c r="H3" s="18" t="s">
        <v>372</v>
      </c>
      <c r="I3" s="29">
        <v>1</v>
      </c>
      <c r="J3" s="17">
        <v>-2</v>
      </c>
      <c r="K3" s="30" t="s">
        <v>373</v>
      </c>
      <c r="L3" s="31" t="s">
        <v>340</v>
      </c>
      <c r="O3" s="32"/>
      <c r="XER3" s="36"/>
      <c r="XES3" s="36"/>
    </row>
    <row r="4" s="3" customFormat="1" ht="46" customHeight="1" spans="1:16373">
      <c r="A4" s="12">
        <v>2</v>
      </c>
      <c r="B4" s="13"/>
      <c r="C4" s="12" t="s">
        <v>374</v>
      </c>
      <c r="D4" s="19" t="s">
        <v>375</v>
      </c>
      <c r="E4" s="15">
        <v>2</v>
      </c>
      <c r="F4" s="16">
        <v>4</v>
      </c>
      <c r="G4" s="16" t="s">
        <v>376</v>
      </c>
      <c r="H4" s="20"/>
      <c r="I4" s="29">
        <v>4</v>
      </c>
      <c r="J4" s="29" t="s">
        <v>376</v>
      </c>
      <c r="K4" s="33" t="s">
        <v>377</v>
      </c>
      <c r="L4" s="31" t="s">
        <v>340</v>
      </c>
      <c r="XER4" s="36"/>
      <c r="XES4" s="36"/>
    </row>
    <row r="5" s="3" customFormat="1" ht="37" customHeight="1" spans="1:16373">
      <c r="A5" s="12">
        <v>3</v>
      </c>
      <c r="B5" s="13"/>
      <c r="C5" s="12" t="s">
        <v>378</v>
      </c>
      <c r="D5" s="19" t="s">
        <v>379</v>
      </c>
      <c r="E5" s="21">
        <v>2</v>
      </c>
      <c r="F5" s="16">
        <v>4</v>
      </c>
      <c r="G5" s="16" t="s">
        <v>376</v>
      </c>
      <c r="H5" s="16"/>
      <c r="I5" s="29">
        <v>4</v>
      </c>
      <c r="J5" s="29" t="s">
        <v>376</v>
      </c>
      <c r="K5" s="30" t="s">
        <v>380</v>
      </c>
      <c r="L5" s="31" t="s">
        <v>340</v>
      </c>
      <c r="XER5" s="36"/>
      <c r="XES5" s="36"/>
    </row>
    <row r="6" s="4" customFormat="1" ht="40" customHeight="1" spans="1:16374">
      <c r="A6" s="12">
        <v>4</v>
      </c>
      <c r="B6" s="13"/>
      <c r="C6" s="12" t="s">
        <v>381</v>
      </c>
      <c r="D6" s="19" t="s">
        <v>382</v>
      </c>
      <c r="E6" s="22">
        <v>2</v>
      </c>
      <c r="F6" s="23">
        <v>4</v>
      </c>
      <c r="G6" s="16" t="s">
        <v>376</v>
      </c>
      <c r="H6" s="20"/>
      <c r="I6" s="34">
        <v>4</v>
      </c>
      <c r="J6" s="29" t="s">
        <v>376</v>
      </c>
      <c r="K6" s="33"/>
      <c r="L6" s="31" t="s">
        <v>340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T6" s="2"/>
    </row>
    <row r="7" s="3" customFormat="1" ht="37" customHeight="1" spans="1:16373">
      <c r="A7" s="12">
        <v>5</v>
      </c>
      <c r="B7" s="13" t="s">
        <v>117</v>
      </c>
      <c r="C7" s="12" t="s">
        <v>383</v>
      </c>
      <c r="D7" s="14" t="s">
        <v>384</v>
      </c>
      <c r="E7" s="15">
        <v>2</v>
      </c>
      <c r="F7" s="16">
        <v>3</v>
      </c>
      <c r="G7" s="16">
        <v>-1</v>
      </c>
      <c r="H7" s="24" t="s">
        <v>385</v>
      </c>
      <c r="I7" s="29">
        <v>4</v>
      </c>
      <c r="J7" s="29" t="s">
        <v>376</v>
      </c>
      <c r="K7" s="30" t="s">
        <v>386</v>
      </c>
      <c r="L7" s="31" t="s">
        <v>29</v>
      </c>
      <c r="XER7" s="36"/>
      <c r="XES7" s="36"/>
    </row>
    <row r="8" s="3" customFormat="1" ht="37" customHeight="1" spans="1:16373">
      <c r="A8" s="12">
        <v>6</v>
      </c>
      <c r="B8" s="13"/>
      <c r="C8" s="12" t="s">
        <v>387</v>
      </c>
      <c r="D8" s="19" t="s">
        <v>388</v>
      </c>
      <c r="E8" s="15">
        <v>2</v>
      </c>
      <c r="F8" s="16">
        <v>4</v>
      </c>
      <c r="G8" s="16" t="s">
        <v>376</v>
      </c>
      <c r="H8" s="24" t="s">
        <v>389</v>
      </c>
      <c r="I8" s="29">
        <v>4</v>
      </c>
      <c r="J8" s="29" t="s">
        <v>376</v>
      </c>
      <c r="K8" s="35"/>
      <c r="L8" s="31" t="s">
        <v>29</v>
      </c>
      <c r="XER8" s="36"/>
      <c r="XES8" s="36"/>
    </row>
    <row r="9" s="3" customFormat="1" ht="37" customHeight="1" spans="1:16373">
      <c r="A9" s="12">
        <v>7</v>
      </c>
      <c r="B9" s="13"/>
      <c r="C9" s="12" t="s">
        <v>390</v>
      </c>
      <c r="D9" s="19" t="s">
        <v>391</v>
      </c>
      <c r="E9" s="21">
        <v>2</v>
      </c>
      <c r="F9" s="16">
        <v>4</v>
      </c>
      <c r="G9" s="16" t="s">
        <v>376</v>
      </c>
      <c r="H9" s="16"/>
      <c r="I9" s="29">
        <v>2</v>
      </c>
      <c r="J9" s="17">
        <v>-2</v>
      </c>
      <c r="K9" s="33"/>
      <c r="L9" s="31" t="s">
        <v>29</v>
      </c>
      <c r="XER9" s="36"/>
      <c r="XES9" s="36"/>
    </row>
    <row r="10" s="4" customFormat="1" ht="40" customHeight="1" spans="1:16374">
      <c r="A10" s="12">
        <v>8</v>
      </c>
      <c r="B10" s="13"/>
      <c r="C10" s="12" t="s">
        <v>392</v>
      </c>
      <c r="D10" s="19" t="s">
        <v>393</v>
      </c>
      <c r="E10" s="22">
        <v>2</v>
      </c>
      <c r="F10" s="23">
        <v>2</v>
      </c>
      <c r="G10" s="16" t="s">
        <v>376</v>
      </c>
      <c r="H10" s="20"/>
      <c r="I10" s="34">
        <v>4</v>
      </c>
      <c r="J10" s="29" t="s">
        <v>376</v>
      </c>
      <c r="K10" s="35"/>
      <c r="L10" s="31" t="s">
        <v>340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T10" s="2"/>
    </row>
    <row r="11" s="4" customFormat="1" ht="40" customHeight="1" spans="1:16374">
      <c r="A11" s="12">
        <v>9</v>
      </c>
      <c r="B11" s="13"/>
      <c r="C11" s="12" t="s">
        <v>394</v>
      </c>
      <c r="D11" s="19" t="s">
        <v>183</v>
      </c>
      <c r="E11" s="22">
        <v>1</v>
      </c>
      <c r="F11" s="23">
        <v>1</v>
      </c>
      <c r="G11" s="16" t="s">
        <v>376</v>
      </c>
      <c r="H11" s="23"/>
      <c r="I11" s="34">
        <v>2</v>
      </c>
      <c r="J11" s="29" t="s">
        <v>376</v>
      </c>
      <c r="K11" s="33" t="s">
        <v>395</v>
      </c>
      <c r="L11" s="31" t="s">
        <v>29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T11" s="2"/>
    </row>
    <row r="12" s="4" customFormat="1" ht="40" customHeight="1" spans="1:16374">
      <c r="A12" s="12">
        <v>10</v>
      </c>
      <c r="B12" s="13"/>
      <c r="C12" s="12" t="s">
        <v>396</v>
      </c>
      <c r="D12" s="19" t="s">
        <v>397</v>
      </c>
      <c r="E12" s="22">
        <v>2</v>
      </c>
      <c r="F12" s="23">
        <v>2</v>
      </c>
      <c r="G12" s="25">
        <v>-2</v>
      </c>
      <c r="H12" s="23"/>
      <c r="I12" s="34">
        <v>4</v>
      </c>
      <c r="J12" s="29" t="s">
        <v>376</v>
      </c>
      <c r="K12" s="35"/>
      <c r="L12" s="31" t="s">
        <v>29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T12" s="2"/>
    </row>
  </sheetData>
  <mergeCells count="3">
    <mergeCell ref="A1:L1"/>
    <mergeCell ref="B3:B6"/>
    <mergeCell ref="B7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总表</vt:lpstr>
      <vt:lpstr>本周期销售数据表</vt:lpstr>
      <vt:lpstr>上周期销售数据表</vt:lpstr>
      <vt:lpstr>运维数据</vt:lpstr>
      <vt:lpstr>运维频率</vt:lpstr>
      <vt:lpstr>初</vt:lpstr>
      <vt:lpstr>烽</vt:lpstr>
      <vt:lpstr>小兰</vt:lpstr>
      <vt:lpstr>报数</vt:lpstr>
      <vt:lpstr>故障</vt:lpstr>
      <vt:lpstr>碧桂园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revision>0</cp:revision>
  <dcterms:created xsi:type="dcterms:W3CDTF">2024-10-15T02:06:00Z</dcterms:created>
  <dcterms:modified xsi:type="dcterms:W3CDTF">2026-04-24T03:26:03Z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ED40983BF75443239B9AE9788CAF7502_13</vt:lpwstr>
  </property>
  <property fmtid="{D5CDD505-2E9C-101B-9397-08002B2CF9AE}" pid="4" name="CalculationRule">
    <vt:i4>0</vt:i4>
  </property>
</Properties>
</file>